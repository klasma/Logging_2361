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45357</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45357</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45357</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45357</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45357</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45357</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45357</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45357</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45357</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45357</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45357</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45357</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45357</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45357</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45357</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45357</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45357</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45357</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45357</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45357</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45357</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45357</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45357</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45357</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45357</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45357</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45357</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45357</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45357</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45357</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45357</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45357</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45357</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45357</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45357</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45357</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45357</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45357</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45357</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45357</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45357</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45357</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45357</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45357</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45357</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45357</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45357</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45357</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45357</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45357</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45357</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45357</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45357</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45357</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45357</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45357</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45357</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45357</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45357</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45357</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45357</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45357</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45357</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45357</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45357</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45357</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45357</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45357</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45357</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45357</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45357</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45357</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45357</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45357</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45357</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45357</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45357</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45357</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8533-2024</t>
        </is>
      </c>
      <c r="B80" s="1" t="n">
        <v>45351</v>
      </c>
      <c r="C80" s="1" t="n">
        <v>45357</v>
      </c>
      <c r="D80" t="inlineStr">
        <is>
          <t>JÄMTLANDS LÄN</t>
        </is>
      </c>
      <c r="E80" t="inlineStr">
        <is>
          <t>HÄRJEDALEN</t>
        </is>
      </c>
      <c r="G80" t="n">
        <v>60.8</v>
      </c>
      <c r="H80" t="n">
        <v>0</v>
      </c>
      <c r="I80" t="n">
        <v>1</v>
      </c>
      <c r="J80" t="n">
        <v>3</v>
      </c>
      <c r="K80" t="n">
        <v>0</v>
      </c>
      <c r="L80" t="n">
        <v>0</v>
      </c>
      <c r="M80" t="n">
        <v>0</v>
      </c>
      <c r="N80" t="n">
        <v>0</v>
      </c>
      <c r="O80" t="n">
        <v>3</v>
      </c>
      <c r="P80" t="n">
        <v>0</v>
      </c>
      <c r="Q80" t="n">
        <v>4</v>
      </c>
      <c r="R80" s="2" t="inlineStr">
        <is>
          <t>Gränsticka
Knottrig blåslav
Violettgrå tagellav
Sotlav</t>
        </is>
      </c>
      <c r="S80">
        <f>HYPERLINK("https://klasma.github.io/Logging_2361/artfynd/A 8533-2024 artfynd.xlsx", "A 8533-2024")</f>
        <v/>
      </c>
      <c r="T80">
        <f>HYPERLINK("https://klasma.github.io/Logging_2361/kartor/A 8533-2024 karta.png", "A 8533-2024")</f>
        <v/>
      </c>
      <c r="V80">
        <f>HYPERLINK("https://klasma.github.io/Logging_2361/klagomål/A 8533-2024 FSC-klagomål.docx", "A 8533-2024")</f>
        <v/>
      </c>
      <c r="W80">
        <f>HYPERLINK("https://klasma.github.io/Logging_2361/klagomålsmail/A 8533-2024 FSC-klagomål mail.docx", "A 8533-2024")</f>
        <v/>
      </c>
      <c r="X80">
        <f>HYPERLINK("https://klasma.github.io/Logging_2361/tillsyn/A 8533-2024 tillsynsbegäran.docx", "A 8533-2024")</f>
        <v/>
      </c>
      <c r="Y80">
        <f>HYPERLINK("https://klasma.github.io/Logging_2361/tillsynsmail/A 8533-2024 tillsynsbegäran mail.docx", "A 8533-2024")</f>
        <v/>
      </c>
    </row>
    <row r="81" ht="15" customHeight="1">
      <c r="A81" t="inlineStr">
        <is>
          <t>A 12806-2019</t>
        </is>
      </c>
      <c r="B81" s="1" t="n">
        <v>43525</v>
      </c>
      <c r="C81" s="1" t="n">
        <v>45357</v>
      </c>
      <c r="D81" t="inlineStr">
        <is>
          <t>JÄMTLANDS LÄN</t>
        </is>
      </c>
      <c r="E81" t="inlineStr">
        <is>
          <t>HÄRJEDALEN</t>
        </is>
      </c>
      <c r="G81" t="n">
        <v>18.8</v>
      </c>
      <c r="H81" t="n">
        <v>0</v>
      </c>
      <c r="I81" t="n">
        <v>1</v>
      </c>
      <c r="J81" t="n">
        <v>2</v>
      </c>
      <c r="K81" t="n">
        <v>0</v>
      </c>
      <c r="L81" t="n">
        <v>0</v>
      </c>
      <c r="M81" t="n">
        <v>0</v>
      </c>
      <c r="N81" t="n">
        <v>0</v>
      </c>
      <c r="O81" t="n">
        <v>2</v>
      </c>
      <c r="P81" t="n">
        <v>0</v>
      </c>
      <c r="Q81" t="n">
        <v>3</v>
      </c>
      <c r="R81" s="2" t="inlineStr">
        <is>
          <t>Dvärgbägarlav
Skrovellav
Stuplav</t>
        </is>
      </c>
      <c r="S81">
        <f>HYPERLINK("https://klasma.github.io/Logging_2361/artfynd/A 12806-2019 artfynd.xlsx", "A 12806-2019")</f>
        <v/>
      </c>
      <c r="T81">
        <f>HYPERLINK("https://klasma.github.io/Logging_2361/kartor/A 12806-2019 karta.png", "A 12806-2019")</f>
        <v/>
      </c>
      <c r="V81">
        <f>HYPERLINK("https://klasma.github.io/Logging_2361/klagomål/A 12806-2019 FSC-klagomål.docx", "A 12806-2019")</f>
        <v/>
      </c>
      <c r="W81">
        <f>HYPERLINK("https://klasma.github.io/Logging_2361/klagomålsmail/A 12806-2019 FSC-klagomål mail.docx", "A 12806-2019")</f>
        <v/>
      </c>
      <c r="X81">
        <f>HYPERLINK("https://klasma.github.io/Logging_2361/tillsyn/A 12806-2019 tillsynsbegäran.docx", "A 12806-2019")</f>
        <v/>
      </c>
      <c r="Y81">
        <f>HYPERLINK("https://klasma.github.io/Logging_2361/tillsynsmail/A 12806-2019 tillsynsbegäran mail.docx", "A 12806-2019")</f>
        <v/>
      </c>
    </row>
    <row r="82" ht="15" customHeight="1">
      <c r="A82" t="inlineStr">
        <is>
          <t>A 35719-2019</t>
        </is>
      </c>
      <c r="B82" s="1" t="n">
        <v>43664</v>
      </c>
      <c r="C82" s="1" t="n">
        <v>45357</v>
      </c>
      <c r="D82" t="inlineStr">
        <is>
          <t>JÄMTLANDS LÄN</t>
        </is>
      </c>
      <c r="E82" t="inlineStr">
        <is>
          <t>HÄRJEDALEN</t>
        </is>
      </c>
      <c r="F82" t="inlineStr">
        <is>
          <t>SCA</t>
        </is>
      </c>
      <c r="G82" t="n">
        <v>17.7</v>
      </c>
      <c r="H82" t="n">
        <v>0</v>
      </c>
      <c r="I82" t="n">
        <v>1</v>
      </c>
      <c r="J82" t="n">
        <v>2</v>
      </c>
      <c r="K82" t="n">
        <v>0</v>
      </c>
      <c r="L82" t="n">
        <v>0</v>
      </c>
      <c r="M82" t="n">
        <v>0</v>
      </c>
      <c r="N82" t="n">
        <v>0</v>
      </c>
      <c r="O82" t="n">
        <v>2</v>
      </c>
      <c r="P82" t="n">
        <v>0</v>
      </c>
      <c r="Q82" t="n">
        <v>3</v>
      </c>
      <c r="R82" s="2" t="inlineStr">
        <is>
          <t>Kolflarnlav
Tallticka
Dropptaggsvamp</t>
        </is>
      </c>
      <c r="S82">
        <f>HYPERLINK("https://klasma.github.io/Logging_2361/artfynd/A 35719-2019 artfynd.xlsx", "A 35719-2019")</f>
        <v/>
      </c>
      <c r="T82">
        <f>HYPERLINK("https://klasma.github.io/Logging_2361/kartor/A 35719-2019 karta.png", "A 35719-2019")</f>
        <v/>
      </c>
      <c r="V82">
        <f>HYPERLINK("https://klasma.github.io/Logging_2361/klagomål/A 35719-2019 FSC-klagomål.docx", "A 35719-2019")</f>
        <v/>
      </c>
      <c r="W82">
        <f>HYPERLINK("https://klasma.github.io/Logging_2361/klagomålsmail/A 35719-2019 FSC-klagomål mail.docx", "A 35719-2019")</f>
        <v/>
      </c>
      <c r="X82">
        <f>HYPERLINK("https://klasma.github.io/Logging_2361/tillsyn/A 35719-2019 tillsynsbegäran.docx", "A 35719-2019")</f>
        <v/>
      </c>
      <c r="Y82">
        <f>HYPERLINK("https://klasma.github.io/Logging_2361/tillsynsmail/A 35719-2019 tillsynsbegäran mail.docx", "A 35719-2019")</f>
        <v/>
      </c>
    </row>
    <row r="83" ht="15" customHeight="1">
      <c r="A83" t="inlineStr">
        <is>
          <t>A 41873-2020</t>
        </is>
      </c>
      <c r="B83" s="1" t="n">
        <v>44074</v>
      </c>
      <c r="C83" s="1" t="n">
        <v>45357</v>
      </c>
      <c r="D83" t="inlineStr">
        <is>
          <t>JÄMTLANDS LÄN</t>
        </is>
      </c>
      <c r="E83" t="inlineStr">
        <is>
          <t>HÄRJEDALEN</t>
        </is>
      </c>
      <c r="F83" t="inlineStr">
        <is>
          <t>SCA</t>
        </is>
      </c>
      <c r="G83" t="n">
        <v>2.4</v>
      </c>
      <c r="H83" t="n">
        <v>2</v>
      </c>
      <c r="I83" t="n">
        <v>1</v>
      </c>
      <c r="J83" t="n">
        <v>1</v>
      </c>
      <c r="K83" t="n">
        <v>1</v>
      </c>
      <c r="L83" t="n">
        <v>0</v>
      </c>
      <c r="M83" t="n">
        <v>0</v>
      </c>
      <c r="N83" t="n">
        <v>0</v>
      </c>
      <c r="O83" t="n">
        <v>2</v>
      </c>
      <c r="P83" t="n">
        <v>1</v>
      </c>
      <c r="Q83" t="n">
        <v>3</v>
      </c>
      <c r="R83" s="2" t="inlineStr">
        <is>
          <t>Knärot
Garnlav
Korallrot</t>
        </is>
      </c>
      <c r="S83">
        <f>HYPERLINK("https://klasma.github.io/Logging_2361/artfynd/A 41873-2020 artfynd.xlsx", "A 41873-2020")</f>
        <v/>
      </c>
      <c r="T83">
        <f>HYPERLINK("https://klasma.github.io/Logging_2361/kartor/A 41873-2020 karta.png", "A 41873-2020")</f>
        <v/>
      </c>
      <c r="U83">
        <f>HYPERLINK("https://klasma.github.io/Logging_2361/knärot/A 41873-2020 karta knärot.png", "A 41873-2020")</f>
        <v/>
      </c>
      <c r="V83">
        <f>HYPERLINK("https://klasma.github.io/Logging_2361/klagomål/A 41873-2020 FSC-klagomål.docx", "A 41873-2020")</f>
        <v/>
      </c>
      <c r="W83">
        <f>HYPERLINK("https://klasma.github.io/Logging_2361/klagomålsmail/A 41873-2020 FSC-klagomål mail.docx", "A 41873-2020")</f>
        <v/>
      </c>
      <c r="X83">
        <f>HYPERLINK("https://klasma.github.io/Logging_2361/tillsyn/A 41873-2020 tillsynsbegäran.docx", "A 41873-2020")</f>
        <v/>
      </c>
      <c r="Y83">
        <f>HYPERLINK("https://klasma.github.io/Logging_2361/tillsynsmail/A 41873-2020 tillsynsbegäran mail.docx", "A 41873-2020")</f>
        <v/>
      </c>
    </row>
    <row r="84" ht="15" customHeight="1">
      <c r="A84" t="inlineStr">
        <is>
          <t>A 49864-2020</t>
        </is>
      </c>
      <c r="B84" s="1" t="n">
        <v>44107</v>
      </c>
      <c r="C84" s="1" t="n">
        <v>45357</v>
      </c>
      <c r="D84" t="inlineStr">
        <is>
          <t>JÄMTLANDS LÄN</t>
        </is>
      </c>
      <c r="E84" t="inlineStr">
        <is>
          <t>HÄRJEDALEN</t>
        </is>
      </c>
      <c r="F84" t="inlineStr">
        <is>
          <t>Bergvik skog väst AB</t>
        </is>
      </c>
      <c r="G84" t="n">
        <v>3.2</v>
      </c>
      <c r="H84" t="n">
        <v>1</v>
      </c>
      <c r="I84" t="n">
        <v>0</v>
      </c>
      <c r="J84" t="n">
        <v>3</v>
      </c>
      <c r="K84" t="n">
        <v>0</v>
      </c>
      <c r="L84" t="n">
        <v>0</v>
      </c>
      <c r="M84" t="n">
        <v>0</v>
      </c>
      <c r="N84" t="n">
        <v>0</v>
      </c>
      <c r="O84" t="n">
        <v>3</v>
      </c>
      <c r="P84" t="n">
        <v>0</v>
      </c>
      <c r="Q84" t="n">
        <v>3</v>
      </c>
      <c r="R84" s="2" t="inlineStr">
        <is>
          <t>Garnlav
Granticka
Tretåig hackspett</t>
        </is>
      </c>
      <c r="S84">
        <f>HYPERLINK("https://klasma.github.io/Logging_2361/artfynd/A 49864-2020 artfynd.xlsx", "A 49864-2020")</f>
        <v/>
      </c>
      <c r="T84">
        <f>HYPERLINK("https://klasma.github.io/Logging_2361/kartor/A 49864-2020 karta.png", "A 49864-2020")</f>
        <v/>
      </c>
      <c r="V84">
        <f>HYPERLINK("https://klasma.github.io/Logging_2361/klagomål/A 49864-2020 FSC-klagomål.docx", "A 49864-2020")</f>
        <v/>
      </c>
      <c r="W84">
        <f>HYPERLINK("https://klasma.github.io/Logging_2361/klagomålsmail/A 49864-2020 FSC-klagomål mail.docx", "A 49864-2020")</f>
        <v/>
      </c>
      <c r="X84">
        <f>HYPERLINK("https://klasma.github.io/Logging_2361/tillsyn/A 49864-2020 tillsynsbegäran.docx", "A 49864-2020")</f>
        <v/>
      </c>
      <c r="Y84">
        <f>HYPERLINK("https://klasma.github.io/Logging_2361/tillsynsmail/A 49864-2020 tillsynsbegäran mail.docx", "A 49864-2020")</f>
        <v/>
      </c>
      <c r="Z84">
        <f>HYPERLINK("https://klasma.github.io/Logging_2361/fåglar/A 49864-2020 prioriterade fågelarter.docx", "A 49864-2020")</f>
        <v/>
      </c>
    </row>
    <row r="85" ht="15" customHeight="1">
      <c r="A85" t="inlineStr">
        <is>
          <t>A 49863-2020</t>
        </is>
      </c>
      <c r="B85" s="1" t="n">
        <v>44107</v>
      </c>
      <c r="C85" s="1" t="n">
        <v>45357</v>
      </c>
      <c r="D85" t="inlineStr">
        <is>
          <t>JÄMTLANDS LÄN</t>
        </is>
      </c>
      <c r="E85" t="inlineStr">
        <is>
          <t>HÄRJEDALEN</t>
        </is>
      </c>
      <c r="F85" t="inlineStr">
        <is>
          <t>Bergvik skog väst AB</t>
        </is>
      </c>
      <c r="G85" t="n">
        <v>12.8</v>
      </c>
      <c r="H85" t="n">
        <v>1</v>
      </c>
      <c r="I85" t="n">
        <v>1</v>
      </c>
      <c r="J85" t="n">
        <v>2</v>
      </c>
      <c r="K85" t="n">
        <v>0</v>
      </c>
      <c r="L85" t="n">
        <v>0</v>
      </c>
      <c r="M85" t="n">
        <v>0</v>
      </c>
      <c r="N85" t="n">
        <v>0</v>
      </c>
      <c r="O85" t="n">
        <v>2</v>
      </c>
      <c r="P85" t="n">
        <v>0</v>
      </c>
      <c r="Q85" t="n">
        <v>3</v>
      </c>
      <c r="R85" s="2" t="inlineStr">
        <is>
          <t>Garnlav
Tretåig hackspett
Trådticka</t>
        </is>
      </c>
      <c r="S85">
        <f>HYPERLINK("https://klasma.github.io/Logging_2361/artfynd/A 49863-2020 artfynd.xlsx", "A 49863-2020")</f>
        <v/>
      </c>
      <c r="T85">
        <f>HYPERLINK("https://klasma.github.io/Logging_2361/kartor/A 49863-2020 karta.png", "A 49863-2020")</f>
        <v/>
      </c>
      <c r="V85">
        <f>HYPERLINK("https://klasma.github.io/Logging_2361/klagomål/A 49863-2020 FSC-klagomål.docx", "A 49863-2020")</f>
        <v/>
      </c>
      <c r="W85">
        <f>HYPERLINK("https://klasma.github.io/Logging_2361/klagomålsmail/A 49863-2020 FSC-klagomål mail.docx", "A 49863-2020")</f>
        <v/>
      </c>
      <c r="X85">
        <f>HYPERLINK("https://klasma.github.io/Logging_2361/tillsyn/A 49863-2020 tillsynsbegäran.docx", "A 49863-2020")</f>
        <v/>
      </c>
      <c r="Y85">
        <f>HYPERLINK("https://klasma.github.io/Logging_2361/tillsynsmail/A 49863-2020 tillsynsbegäran mail.docx", "A 49863-2020")</f>
        <v/>
      </c>
      <c r="Z85">
        <f>HYPERLINK("https://klasma.github.io/Logging_2361/fåglar/A 49863-2020 prioriterade fågelarter.docx", "A 49863-2020")</f>
        <v/>
      </c>
    </row>
    <row r="86" ht="15" customHeight="1">
      <c r="A86" t="inlineStr">
        <is>
          <t>A 65147-2020</t>
        </is>
      </c>
      <c r="B86" s="1" t="n">
        <v>44172</v>
      </c>
      <c r="C86" s="1" t="n">
        <v>45357</v>
      </c>
      <c r="D86" t="inlineStr">
        <is>
          <t>JÄMTLANDS LÄN</t>
        </is>
      </c>
      <c r="E86" t="inlineStr">
        <is>
          <t>HÄRJEDALEN</t>
        </is>
      </c>
      <c r="G86" t="n">
        <v>5.9</v>
      </c>
      <c r="H86" t="n">
        <v>1</v>
      </c>
      <c r="I86" t="n">
        <v>0</v>
      </c>
      <c r="J86" t="n">
        <v>3</v>
      </c>
      <c r="K86" t="n">
        <v>0</v>
      </c>
      <c r="L86" t="n">
        <v>0</v>
      </c>
      <c r="M86" t="n">
        <v>0</v>
      </c>
      <c r="N86" t="n">
        <v>0</v>
      </c>
      <c r="O86" t="n">
        <v>3</v>
      </c>
      <c r="P86" t="n">
        <v>0</v>
      </c>
      <c r="Q86" t="n">
        <v>3</v>
      </c>
      <c r="R86" s="2" t="inlineStr">
        <is>
          <t>Blanksvart spiklav
Garnlav
Varglav</t>
        </is>
      </c>
      <c r="S86">
        <f>HYPERLINK("https://klasma.github.io/Logging_2361/artfynd/A 65147-2020 artfynd.xlsx", "A 65147-2020")</f>
        <v/>
      </c>
      <c r="T86">
        <f>HYPERLINK("https://klasma.github.io/Logging_2361/kartor/A 65147-2020 karta.png", "A 65147-2020")</f>
        <v/>
      </c>
      <c r="V86">
        <f>HYPERLINK("https://klasma.github.io/Logging_2361/klagomål/A 65147-2020 FSC-klagomål.docx", "A 65147-2020")</f>
        <v/>
      </c>
      <c r="W86">
        <f>HYPERLINK("https://klasma.github.io/Logging_2361/klagomålsmail/A 65147-2020 FSC-klagomål mail.docx", "A 65147-2020")</f>
        <v/>
      </c>
      <c r="X86">
        <f>HYPERLINK("https://klasma.github.io/Logging_2361/tillsyn/A 65147-2020 tillsynsbegäran.docx", "A 65147-2020")</f>
        <v/>
      </c>
      <c r="Y86">
        <f>HYPERLINK("https://klasma.github.io/Logging_2361/tillsynsmail/A 65147-2020 tillsynsbegäran mail.docx", "A 65147-2020")</f>
        <v/>
      </c>
    </row>
    <row r="87" ht="15" customHeight="1">
      <c r="A87" t="inlineStr">
        <is>
          <t>A 67126-2020</t>
        </is>
      </c>
      <c r="B87" s="1" t="n">
        <v>44180</v>
      </c>
      <c r="C87" s="1" t="n">
        <v>45357</v>
      </c>
      <c r="D87" t="inlineStr">
        <is>
          <t>JÄMTLANDS LÄN</t>
        </is>
      </c>
      <c r="E87" t="inlineStr">
        <is>
          <t>HÄRJEDALEN</t>
        </is>
      </c>
      <c r="F87" t="inlineStr">
        <is>
          <t>Holmen skog AB</t>
        </is>
      </c>
      <c r="G87" t="n">
        <v>0.2</v>
      </c>
      <c r="H87" t="n">
        <v>0</v>
      </c>
      <c r="I87" t="n">
        <v>0</v>
      </c>
      <c r="J87" t="n">
        <v>3</v>
      </c>
      <c r="K87" t="n">
        <v>0</v>
      </c>
      <c r="L87" t="n">
        <v>0</v>
      </c>
      <c r="M87" t="n">
        <v>0</v>
      </c>
      <c r="N87" t="n">
        <v>0</v>
      </c>
      <c r="O87" t="n">
        <v>3</v>
      </c>
      <c r="P87" t="n">
        <v>0</v>
      </c>
      <c r="Q87" t="n">
        <v>3</v>
      </c>
      <c r="R87" s="2" t="inlineStr">
        <is>
          <t>Granticka
Mörk kolflarnlav
Ullticka</t>
        </is>
      </c>
      <c r="S87">
        <f>HYPERLINK("https://klasma.github.io/Logging_2361/artfynd/A 67126-2020 artfynd.xlsx", "A 67126-2020")</f>
        <v/>
      </c>
      <c r="T87">
        <f>HYPERLINK("https://klasma.github.io/Logging_2361/kartor/A 67126-2020 karta.png", "A 67126-2020")</f>
        <v/>
      </c>
      <c r="V87">
        <f>HYPERLINK("https://klasma.github.io/Logging_2361/klagomål/A 67126-2020 FSC-klagomål.docx", "A 67126-2020")</f>
        <v/>
      </c>
      <c r="W87">
        <f>HYPERLINK("https://klasma.github.io/Logging_2361/klagomålsmail/A 67126-2020 FSC-klagomål mail.docx", "A 67126-2020")</f>
        <v/>
      </c>
      <c r="X87">
        <f>HYPERLINK("https://klasma.github.io/Logging_2361/tillsyn/A 67126-2020 tillsynsbegäran.docx", "A 67126-2020")</f>
        <v/>
      </c>
      <c r="Y87">
        <f>HYPERLINK("https://klasma.github.io/Logging_2361/tillsynsmail/A 67126-2020 tillsynsbegäran mail.docx", "A 67126-2020")</f>
        <v/>
      </c>
    </row>
    <row r="88" ht="15" customHeight="1">
      <c r="A88" t="inlineStr">
        <is>
          <t>A 55244-2021</t>
        </is>
      </c>
      <c r="B88" s="1" t="n">
        <v>44475</v>
      </c>
      <c r="C88" s="1" t="n">
        <v>45357</v>
      </c>
      <c r="D88" t="inlineStr">
        <is>
          <t>JÄMTLANDS LÄN</t>
        </is>
      </c>
      <c r="E88" t="inlineStr">
        <is>
          <t>HÄRJEDALEN</t>
        </is>
      </c>
      <c r="G88" t="n">
        <v>1.6</v>
      </c>
      <c r="H88" t="n">
        <v>1</v>
      </c>
      <c r="I88" t="n">
        <v>0</v>
      </c>
      <c r="J88" t="n">
        <v>3</v>
      </c>
      <c r="K88" t="n">
        <v>0</v>
      </c>
      <c r="L88" t="n">
        <v>0</v>
      </c>
      <c r="M88" t="n">
        <v>0</v>
      </c>
      <c r="N88" t="n">
        <v>0</v>
      </c>
      <c r="O88" t="n">
        <v>3</v>
      </c>
      <c r="P88" t="n">
        <v>0</v>
      </c>
      <c r="Q88" t="n">
        <v>3</v>
      </c>
      <c r="R88" s="2" t="inlineStr">
        <is>
          <t>Tallticka
Varglav
Vedflamlav</t>
        </is>
      </c>
      <c r="S88">
        <f>HYPERLINK("https://klasma.github.io/Logging_2361/artfynd/A 55244-2021 artfynd.xlsx", "A 55244-2021")</f>
        <v/>
      </c>
      <c r="T88">
        <f>HYPERLINK("https://klasma.github.io/Logging_2361/kartor/A 55244-2021 karta.png", "A 55244-2021")</f>
        <v/>
      </c>
      <c r="V88">
        <f>HYPERLINK("https://klasma.github.io/Logging_2361/klagomål/A 55244-2021 FSC-klagomål.docx", "A 55244-2021")</f>
        <v/>
      </c>
      <c r="W88">
        <f>HYPERLINK("https://klasma.github.io/Logging_2361/klagomålsmail/A 55244-2021 FSC-klagomål mail.docx", "A 55244-2021")</f>
        <v/>
      </c>
      <c r="X88">
        <f>HYPERLINK("https://klasma.github.io/Logging_2361/tillsyn/A 55244-2021 tillsynsbegäran.docx", "A 55244-2021")</f>
        <v/>
      </c>
      <c r="Y88">
        <f>HYPERLINK("https://klasma.github.io/Logging_2361/tillsynsmail/A 55244-2021 tillsynsbegäran mail.docx", "A 55244-2021")</f>
        <v/>
      </c>
    </row>
    <row r="89" ht="15" customHeight="1">
      <c r="A89" t="inlineStr">
        <is>
          <t>A 55233-2021</t>
        </is>
      </c>
      <c r="B89" s="1" t="n">
        <v>44475</v>
      </c>
      <c r="C89" s="1" t="n">
        <v>45357</v>
      </c>
      <c r="D89" t="inlineStr">
        <is>
          <t>JÄMTLANDS LÄN</t>
        </is>
      </c>
      <c r="E89" t="inlineStr">
        <is>
          <t>HÄRJEDALEN</t>
        </is>
      </c>
      <c r="G89" t="n">
        <v>15.3</v>
      </c>
      <c r="H89" t="n">
        <v>1</v>
      </c>
      <c r="I89" t="n">
        <v>0</v>
      </c>
      <c r="J89" t="n">
        <v>3</v>
      </c>
      <c r="K89" t="n">
        <v>0</v>
      </c>
      <c r="L89" t="n">
        <v>0</v>
      </c>
      <c r="M89" t="n">
        <v>0</v>
      </c>
      <c r="N89" t="n">
        <v>0</v>
      </c>
      <c r="O89" t="n">
        <v>3</v>
      </c>
      <c r="P89" t="n">
        <v>0</v>
      </c>
      <c r="Q89" t="n">
        <v>3</v>
      </c>
      <c r="R89" s="2" t="inlineStr">
        <is>
          <t>Reliktbock
Varglav
Vedflamlav</t>
        </is>
      </c>
      <c r="S89">
        <f>HYPERLINK("https://klasma.github.io/Logging_2361/artfynd/A 55233-2021 artfynd.xlsx", "A 55233-2021")</f>
        <v/>
      </c>
      <c r="T89">
        <f>HYPERLINK("https://klasma.github.io/Logging_2361/kartor/A 55233-2021 karta.png", "A 55233-2021")</f>
        <v/>
      </c>
      <c r="V89">
        <f>HYPERLINK("https://klasma.github.io/Logging_2361/klagomål/A 55233-2021 FSC-klagomål.docx", "A 55233-2021")</f>
        <v/>
      </c>
      <c r="W89">
        <f>HYPERLINK("https://klasma.github.io/Logging_2361/klagomålsmail/A 55233-2021 FSC-klagomål mail.docx", "A 55233-2021")</f>
        <v/>
      </c>
      <c r="X89">
        <f>HYPERLINK("https://klasma.github.io/Logging_2361/tillsyn/A 55233-2021 tillsynsbegäran.docx", "A 55233-2021")</f>
        <v/>
      </c>
      <c r="Y89">
        <f>HYPERLINK("https://klasma.github.io/Logging_2361/tillsynsmail/A 55233-2021 tillsynsbegäran mail.docx", "A 55233-2021")</f>
        <v/>
      </c>
    </row>
    <row r="90" ht="15" customHeight="1">
      <c r="A90" t="inlineStr">
        <is>
          <t>A 55394-2021</t>
        </is>
      </c>
      <c r="B90" s="1" t="n">
        <v>44475</v>
      </c>
      <c r="C90" s="1" t="n">
        <v>45357</v>
      </c>
      <c r="D90" t="inlineStr">
        <is>
          <t>JÄMTLANDS LÄN</t>
        </is>
      </c>
      <c r="E90" t="inlineStr">
        <is>
          <t>HÄRJEDALEN</t>
        </is>
      </c>
      <c r="G90" t="n">
        <v>2.7</v>
      </c>
      <c r="H90" t="n">
        <v>1</v>
      </c>
      <c r="I90" t="n">
        <v>0</v>
      </c>
      <c r="J90" t="n">
        <v>3</v>
      </c>
      <c r="K90" t="n">
        <v>0</v>
      </c>
      <c r="L90" t="n">
        <v>0</v>
      </c>
      <c r="M90" t="n">
        <v>0</v>
      </c>
      <c r="N90" t="n">
        <v>0</v>
      </c>
      <c r="O90" t="n">
        <v>3</v>
      </c>
      <c r="P90" t="n">
        <v>0</v>
      </c>
      <c r="Q90" t="n">
        <v>3</v>
      </c>
      <c r="R90" s="2" t="inlineStr">
        <is>
          <t>Blanksvart spiklav
Varglav
Vedflamlav</t>
        </is>
      </c>
      <c r="S90">
        <f>HYPERLINK("https://klasma.github.io/Logging_2361/artfynd/A 55394-2021 artfynd.xlsx", "A 55394-2021")</f>
        <v/>
      </c>
      <c r="T90">
        <f>HYPERLINK("https://klasma.github.io/Logging_2361/kartor/A 55394-2021 karta.png", "A 55394-2021")</f>
        <v/>
      </c>
      <c r="V90">
        <f>HYPERLINK("https://klasma.github.io/Logging_2361/klagomål/A 55394-2021 FSC-klagomål.docx", "A 55394-2021")</f>
        <v/>
      </c>
      <c r="W90">
        <f>HYPERLINK("https://klasma.github.io/Logging_2361/klagomålsmail/A 55394-2021 FSC-klagomål mail.docx", "A 55394-2021")</f>
        <v/>
      </c>
      <c r="X90">
        <f>HYPERLINK("https://klasma.github.io/Logging_2361/tillsyn/A 55394-2021 tillsynsbegäran.docx", "A 55394-2021")</f>
        <v/>
      </c>
      <c r="Y90">
        <f>HYPERLINK("https://klasma.github.io/Logging_2361/tillsynsmail/A 55394-2021 tillsynsbegäran mail.docx", "A 55394-2021")</f>
        <v/>
      </c>
    </row>
    <row r="91" ht="15" customHeight="1">
      <c r="A91" t="inlineStr">
        <is>
          <t>A 55641-2021</t>
        </is>
      </c>
      <c r="B91" s="1" t="n">
        <v>44476</v>
      </c>
      <c r="C91" s="1" t="n">
        <v>45357</v>
      </c>
      <c r="D91" t="inlineStr">
        <is>
          <t>JÄMTLANDS LÄN</t>
        </is>
      </c>
      <c r="E91" t="inlineStr">
        <is>
          <t>HÄRJEDALEN</t>
        </is>
      </c>
      <c r="G91" t="n">
        <v>7.6</v>
      </c>
      <c r="H91" t="n">
        <v>1</v>
      </c>
      <c r="I91" t="n">
        <v>0</v>
      </c>
      <c r="J91" t="n">
        <v>3</v>
      </c>
      <c r="K91" t="n">
        <v>0</v>
      </c>
      <c r="L91" t="n">
        <v>0</v>
      </c>
      <c r="M91" t="n">
        <v>0</v>
      </c>
      <c r="N91" t="n">
        <v>0</v>
      </c>
      <c r="O91" t="n">
        <v>3</v>
      </c>
      <c r="P91" t="n">
        <v>0</v>
      </c>
      <c r="Q91" t="n">
        <v>3</v>
      </c>
      <c r="R91" s="2" t="inlineStr">
        <is>
          <t>Brunpudrad nållav
Dvärgbägarlav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33914-2022</t>
        </is>
      </c>
      <c r="B92" s="1" t="n">
        <v>44790</v>
      </c>
      <c r="C92" s="1" t="n">
        <v>45357</v>
      </c>
      <c r="D92" t="inlineStr">
        <is>
          <t>JÄMTLANDS LÄN</t>
        </is>
      </c>
      <c r="E92" t="inlineStr">
        <is>
          <t>HÄRJEDALEN</t>
        </is>
      </c>
      <c r="F92" t="inlineStr">
        <is>
          <t>Bergvik skog väst AB</t>
        </is>
      </c>
      <c r="G92" t="n">
        <v>38.1</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HYPERLINK("https://klasma.github.io/Logging_2361/artfynd/A 33914-2022 artfynd.xlsx", "A 33914-2022")</f>
        <v/>
      </c>
      <c r="T92">
        <f>HYPERLINK("https://klasma.github.io/Logging_2361/kartor/A 33914-2022 karta.png", "A 33914-2022")</f>
        <v/>
      </c>
      <c r="V92">
        <f>HYPERLINK("https://klasma.github.io/Logging_2361/klagomål/A 33914-2022 FSC-klagomål.docx", "A 33914-2022")</f>
        <v/>
      </c>
      <c r="W92">
        <f>HYPERLINK("https://klasma.github.io/Logging_2361/klagomålsmail/A 33914-2022 FSC-klagomål mail.docx", "A 33914-2022")</f>
        <v/>
      </c>
      <c r="X92">
        <f>HYPERLINK("https://klasma.github.io/Logging_2361/tillsyn/A 33914-2022 tillsynsbegäran.docx", "A 33914-2022")</f>
        <v/>
      </c>
      <c r="Y92">
        <f>HYPERLINK("https://klasma.github.io/Logging_2361/tillsynsmail/A 33914-2022 tillsynsbegäran mail.docx", "A 33914-2022")</f>
        <v/>
      </c>
      <c r="Z92">
        <f>HYPERLINK("https://klasma.github.io/Logging_2361/fåglar/A 33914-2022 prioriterade fågelarter.docx", "A 33914-2022")</f>
        <v/>
      </c>
    </row>
    <row r="93" ht="15" customHeight="1">
      <c r="A93" t="inlineStr">
        <is>
          <t>A 34035-2022</t>
        </is>
      </c>
      <c r="B93" s="1" t="n">
        <v>44791</v>
      </c>
      <c r="C93" s="1" t="n">
        <v>45357</v>
      </c>
      <c r="D93" t="inlineStr">
        <is>
          <t>JÄMTLANDS LÄN</t>
        </is>
      </c>
      <c r="E93" t="inlineStr">
        <is>
          <t>HÄRJEDALEN</t>
        </is>
      </c>
      <c r="F93" t="inlineStr">
        <is>
          <t>Naturvårdsverket</t>
        </is>
      </c>
      <c r="G93" t="n">
        <v>27.4</v>
      </c>
      <c r="H93" t="n">
        <v>0</v>
      </c>
      <c r="I93" t="n">
        <v>0</v>
      </c>
      <c r="J93" t="n">
        <v>3</v>
      </c>
      <c r="K93" t="n">
        <v>0</v>
      </c>
      <c r="L93" t="n">
        <v>0</v>
      </c>
      <c r="M93" t="n">
        <v>0</v>
      </c>
      <c r="N93" t="n">
        <v>0</v>
      </c>
      <c r="O93" t="n">
        <v>3</v>
      </c>
      <c r="P93" t="n">
        <v>0</v>
      </c>
      <c r="Q93" t="n">
        <v>3</v>
      </c>
      <c r="R93" s="2" t="inlineStr">
        <is>
          <t>Gammelgransskål
Garnlav
Gränsticka</t>
        </is>
      </c>
      <c r="S93">
        <f>HYPERLINK("https://klasma.github.io/Logging_2361/artfynd/A 34035-2022 artfynd.xlsx", "A 34035-2022")</f>
        <v/>
      </c>
      <c r="T93">
        <f>HYPERLINK("https://klasma.github.io/Logging_2361/kartor/A 34035-2022 karta.png", "A 34035-2022")</f>
        <v/>
      </c>
      <c r="V93">
        <f>HYPERLINK("https://klasma.github.io/Logging_2361/klagomål/A 34035-2022 FSC-klagomål.docx", "A 34035-2022")</f>
        <v/>
      </c>
      <c r="W93">
        <f>HYPERLINK("https://klasma.github.io/Logging_2361/klagomålsmail/A 34035-2022 FSC-klagomål mail.docx", "A 34035-2022")</f>
        <v/>
      </c>
      <c r="X93">
        <f>HYPERLINK("https://klasma.github.io/Logging_2361/tillsyn/A 34035-2022 tillsynsbegäran.docx", "A 34035-2022")</f>
        <v/>
      </c>
      <c r="Y93">
        <f>HYPERLINK("https://klasma.github.io/Logging_2361/tillsynsmail/A 34035-2022 tillsynsbegäran mail.docx", "A 34035-2022")</f>
        <v/>
      </c>
    </row>
    <row r="94" ht="15" customHeight="1">
      <c r="A94" t="inlineStr">
        <is>
          <t>A 55383-2022</t>
        </is>
      </c>
      <c r="B94" s="1" t="n">
        <v>44882</v>
      </c>
      <c r="C94" s="1" t="n">
        <v>45357</v>
      </c>
      <c r="D94" t="inlineStr">
        <is>
          <t>JÄMTLANDS LÄN</t>
        </is>
      </c>
      <c r="E94" t="inlineStr">
        <is>
          <t>HÄRJEDALEN</t>
        </is>
      </c>
      <c r="G94" t="n">
        <v>11</v>
      </c>
      <c r="H94" t="n">
        <v>1</v>
      </c>
      <c r="I94" t="n">
        <v>0</v>
      </c>
      <c r="J94" t="n">
        <v>3</v>
      </c>
      <c r="K94" t="n">
        <v>0</v>
      </c>
      <c r="L94" t="n">
        <v>0</v>
      </c>
      <c r="M94" t="n">
        <v>0</v>
      </c>
      <c r="N94" t="n">
        <v>0</v>
      </c>
      <c r="O94" t="n">
        <v>3</v>
      </c>
      <c r="P94" t="n">
        <v>0</v>
      </c>
      <c r="Q94" t="n">
        <v>3</v>
      </c>
      <c r="R94" s="2" t="inlineStr">
        <is>
          <t>Garnlav
Granticka
Tretåig hackspett</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14060-2023</t>
        </is>
      </c>
      <c r="B95" s="1" t="n">
        <v>45007</v>
      </c>
      <c r="C95" s="1" t="n">
        <v>45357</v>
      </c>
      <c r="D95" t="inlineStr">
        <is>
          <t>JÄMTLANDS LÄN</t>
        </is>
      </c>
      <c r="E95" t="inlineStr">
        <is>
          <t>HÄRJEDALEN</t>
        </is>
      </c>
      <c r="F95" t="inlineStr">
        <is>
          <t>Bergvik skog väst AB</t>
        </is>
      </c>
      <c r="G95" t="n">
        <v>6.7</v>
      </c>
      <c r="H95" t="n">
        <v>0</v>
      </c>
      <c r="I95" t="n">
        <v>0</v>
      </c>
      <c r="J95" t="n">
        <v>0</v>
      </c>
      <c r="K95" t="n">
        <v>2</v>
      </c>
      <c r="L95" t="n">
        <v>1</v>
      </c>
      <c r="M95" t="n">
        <v>0</v>
      </c>
      <c r="N95" t="n">
        <v>0</v>
      </c>
      <c r="O95" t="n">
        <v>3</v>
      </c>
      <c r="P95" t="n">
        <v>3</v>
      </c>
      <c r="Q95" t="n">
        <v>3</v>
      </c>
      <c r="R95" s="2" t="inlineStr">
        <is>
          <t>Urskogsporing
Fläckporing
Gräddporing</t>
        </is>
      </c>
      <c r="S95">
        <f>HYPERLINK("https://klasma.github.io/Logging_2361/artfynd/A 14060-2023 artfynd.xlsx", "A 14060-2023")</f>
        <v/>
      </c>
      <c r="T95">
        <f>HYPERLINK("https://klasma.github.io/Logging_2361/kartor/A 14060-2023 karta.png", "A 14060-2023")</f>
        <v/>
      </c>
      <c r="V95">
        <f>HYPERLINK("https://klasma.github.io/Logging_2361/klagomål/A 14060-2023 FSC-klagomål.docx", "A 14060-2023")</f>
        <v/>
      </c>
      <c r="W95">
        <f>HYPERLINK("https://klasma.github.io/Logging_2361/klagomålsmail/A 14060-2023 FSC-klagomål mail.docx", "A 14060-2023")</f>
        <v/>
      </c>
      <c r="X95">
        <f>HYPERLINK("https://klasma.github.io/Logging_2361/tillsyn/A 14060-2023 tillsynsbegäran.docx", "A 14060-2023")</f>
        <v/>
      </c>
      <c r="Y95">
        <f>HYPERLINK("https://klasma.github.io/Logging_2361/tillsynsmail/A 14060-2023 tillsynsbegäran mail.docx", "A 14060-2023")</f>
        <v/>
      </c>
    </row>
    <row r="96" ht="15" customHeight="1">
      <c r="A96" t="inlineStr">
        <is>
          <t>A 19659-2023</t>
        </is>
      </c>
      <c r="B96" s="1" t="n">
        <v>45050</v>
      </c>
      <c r="C96" s="1" t="n">
        <v>45357</v>
      </c>
      <c r="D96" t="inlineStr">
        <is>
          <t>JÄMTLANDS LÄN</t>
        </is>
      </c>
      <c r="E96" t="inlineStr">
        <is>
          <t>HÄRJEDALEN</t>
        </is>
      </c>
      <c r="F96" t="inlineStr">
        <is>
          <t>Bergvik skog väst AB</t>
        </is>
      </c>
      <c r="G96" t="n">
        <v>2.8</v>
      </c>
      <c r="H96" t="n">
        <v>0</v>
      </c>
      <c r="I96" t="n">
        <v>0</v>
      </c>
      <c r="J96" t="n">
        <v>3</v>
      </c>
      <c r="K96" t="n">
        <v>0</v>
      </c>
      <c r="L96" t="n">
        <v>0</v>
      </c>
      <c r="M96" t="n">
        <v>0</v>
      </c>
      <c r="N96" t="n">
        <v>0</v>
      </c>
      <c r="O96" t="n">
        <v>3</v>
      </c>
      <c r="P96" t="n">
        <v>0</v>
      </c>
      <c r="Q96" t="n">
        <v>3</v>
      </c>
      <c r="R96" s="2" t="inlineStr">
        <is>
          <t>Gäckporing
Nordtagging
Vedskivlav</t>
        </is>
      </c>
      <c r="S96">
        <f>HYPERLINK("https://klasma.github.io/Logging_2361/artfynd/A 19659-2023 artfynd.xlsx", "A 19659-2023")</f>
        <v/>
      </c>
      <c r="T96">
        <f>HYPERLINK("https://klasma.github.io/Logging_2361/kartor/A 19659-2023 karta.png", "A 19659-2023")</f>
        <v/>
      </c>
      <c r="V96">
        <f>HYPERLINK("https://klasma.github.io/Logging_2361/klagomål/A 19659-2023 FSC-klagomål.docx", "A 19659-2023")</f>
        <v/>
      </c>
      <c r="W96">
        <f>HYPERLINK("https://klasma.github.io/Logging_2361/klagomålsmail/A 19659-2023 FSC-klagomål mail.docx", "A 19659-2023")</f>
        <v/>
      </c>
      <c r="X96">
        <f>HYPERLINK("https://klasma.github.io/Logging_2361/tillsyn/A 19659-2023 tillsynsbegäran.docx", "A 19659-2023")</f>
        <v/>
      </c>
      <c r="Y96">
        <f>HYPERLINK("https://klasma.github.io/Logging_2361/tillsynsmail/A 19659-2023 tillsynsbegäran mail.docx", "A 19659-2023")</f>
        <v/>
      </c>
    </row>
    <row r="97" ht="15" customHeight="1">
      <c r="A97" t="inlineStr">
        <is>
          <t>A 24955-2023</t>
        </is>
      </c>
      <c r="B97" s="1" t="n">
        <v>45085</v>
      </c>
      <c r="C97" s="1" t="n">
        <v>45357</v>
      </c>
      <c r="D97" t="inlineStr">
        <is>
          <t>JÄMTLANDS LÄN</t>
        </is>
      </c>
      <c r="E97" t="inlineStr">
        <is>
          <t>HÄRJEDALEN</t>
        </is>
      </c>
      <c r="G97" t="n">
        <v>7.7</v>
      </c>
      <c r="H97" t="n">
        <v>1</v>
      </c>
      <c r="I97" t="n">
        <v>0</v>
      </c>
      <c r="J97" t="n">
        <v>3</v>
      </c>
      <c r="K97" t="n">
        <v>0</v>
      </c>
      <c r="L97" t="n">
        <v>0</v>
      </c>
      <c r="M97" t="n">
        <v>0</v>
      </c>
      <c r="N97" t="n">
        <v>0</v>
      </c>
      <c r="O97" t="n">
        <v>3</v>
      </c>
      <c r="P97" t="n">
        <v>0</v>
      </c>
      <c r="Q97" t="n">
        <v>3</v>
      </c>
      <c r="R97" s="2" t="inlineStr">
        <is>
          <t>Brunpudrad nållav
Dvärgbägarlav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57572-2023</t>
        </is>
      </c>
      <c r="B98" s="1" t="n">
        <v>45246</v>
      </c>
      <c r="C98" s="1" t="n">
        <v>45357</v>
      </c>
      <c r="D98" t="inlineStr">
        <is>
          <t>JÄMTLANDS LÄN</t>
        </is>
      </c>
      <c r="E98" t="inlineStr">
        <is>
          <t>HÄRJEDALEN</t>
        </is>
      </c>
      <c r="G98" t="n">
        <v>40.5</v>
      </c>
      <c r="H98" t="n">
        <v>0</v>
      </c>
      <c r="I98" t="n">
        <v>0</v>
      </c>
      <c r="J98" t="n">
        <v>2</v>
      </c>
      <c r="K98" t="n">
        <v>1</v>
      </c>
      <c r="L98" t="n">
        <v>0</v>
      </c>
      <c r="M98" t="n">
        <v>0</v>
      </c>
      <c r="N98" t="n">
        <v>0</v>
      </c>
      <c r="O98" t="n">
        <v>3</v>
      </c>
      <c r="P98" t="n">
        <v>1</v>
      </c>
      <c r="Q98" t="n">
        <v>3</v>
      </c>
      <c r="R98" s="2" t="inlineStr">
        <is>
          <t>Gräddporing
Nordtagging
Skrovellav</t>
        </is>
      </c>
      <c r="S98">
        <f>HYPERLINK("https://klasma.github.io/Logging_2361/artfynd/A 57572-2023 artfynd.xlsx", "A 57572-2023")</f>
        <v/>
      </c>
      <c r="T98">
        <f>HYPERLINK("https://klasma.github.io/Logging_2361/kartor/A 57572-2023 karta.png", "A 57572-2023")</f>
        <v/>
      </c>
      <c r="V98">
        <f>HYPERLINK("https://klasma.github.io/Logging_2361/klagomål/A 57572-2023 FSC-klagomål.docx", "A 57572-2023")</f>
        <v/>
      </c>
      <c r="W98">
        <f>HYPERLINK("https://klasma.github.io/Logging_2361/klagomålsmail/A 57572-2023 FSC-klagomål mail.docx", "A 57572-2023")</f>
        <v/>
      </c>
      <c r="X98">
        <f>HYPERLINK("https://klasma.github.io/Logging_2361/tillsyn/A 57572-2023 tillsynsbegäran.docx", "A 57572-2023")</f>
        <v/>
      </c>
      <c r="Y98">
        <f>HYPERLINK("https://klasma.github.io/Logging_2361/tillsynsmail/A 57572-2023 tillsynsbegäran mail.docx", "A 57572-2023")</f>
        <v/>
      </c>
    </row>
    <row r="99" ht="15" customHeight="1">
      <c r="A99" t="inlineStr">
        <is>
          <t>A 28321-2019</t>
        </is>
      </c>
      <c r="B99" s="1" t="n">
        <v>43623</v>
      </c>
      <c r="C99" s="1" t="n">
        <v>45357</v>
      </c>
      <c r="D99" t="inlineStr">
        <is>
          <t>JÄMTLANDS LÄN</t>
        </is>
      </c>
      <c r="E99" t="inlineStr">
        <is>
          <t>HÄRJEDALEN</t>
        </is>
      </c>
      <c r="F99" t="inlineStr">
        <is>
          <t>Sveaskog</t>
        </is>
      </c>
      <c r="G99" t="n">
        <v>3.3</v>
      </c>
      <c r="H99" t="n">
        <v>0</v>
      </c>
      <c r="I99" t="n">
        <v>0</v>
      </c>
      <c r="J99" t="n">
        <v>2</v>
      </c>
      <c r="K99" t="n">
        <v>0</v>
      </c>
      <c r="L99" t="n">
        <v>0</v>
      </c>
      <c r="M99" t="n">
        <v>0</v>
      </c>
      <c r="N99" t="n">
        <v>0</v>
      </c>
      <c r="O99" t="n">
        <v>2</v>
      </c>
      <c r="P99" t="n">
        <v>0</v>
      </c>
      <c r="Q99" t="n">
        <v>2</v>
      </c>
      <c r="R99" s="2" t="inlineStr">
        <is>
          <t>Garnlav
Kolflarnlav</t>
        </is>
      </c>
      <c r="S99">
        <f>HYPERLINK("https://klasma.github.io/Logging_2361/artfynd/A 28321-2019 artfynd.xlsx", "A 28321-2019")</f>
        <v/>
      </c>
      <c r="T99">
        <f>HYPERLINK("https://klasma.github.io/Logging_2361/kartor/A 28321-2019 karta.png", "A 28321-2019")</f>
        <v/>
      </c>
      <c r="V99">
        <f>HYPERLINK("https://klasma.github.io/Logging_2361/klagomål/A 28321-2019 FSC-klagomål.docx", "A 28321-2019")</f>
        <v/>
      </c>
      <c r="W99">
        <f>HYPERLINK("https://klasma.github.io/Logging_2361/klagomålsmail/A 28321-2019 FSC-klagomål mail.docx", "A 28321-2019")</f>
        <v/>
      </c>
      <c r="X99">
        <f>HYPERLINK("https://klasma.github.io/Logging_2361/tillsyn/A 28321-2019 tillsynsbegäran.docx", "A 28321-2019")</f>
        <v/>
      </c>
      <c r="Y99">
        <f>HYPERLINK("https://klasma.github.io/Logging_2361/tillsynsmail/A 28321-2019 tillsynsbegäran mail.docx", "A 28321-2019")</f>
        <v/>
      </c>
    </row>
    <row r="100" ht="15" customHeight="1">
      <c r="A100" t="inlineStr">
        <is>
          <t>A 29265-2019</t>
        </is>
      </c>
      <c r="B100" s="1" t="n">
        <v>43629</v>
      </c>
      <c r="C100" s="1" t="n">
        <v>45357</v>
      </c>
      <c r="D100" t="inlineStr">
        <is>
          <t>JÄMTLANDS LÄN</t>
        </is>
      </c>
      <c r="E100" t="inlineStr">
        <is>
          <t>HÄRJEDALEN</t>
        </is>
      </c>
      <c r="F100" t="inlineStr">
        <is>
          <t>Holmen skog AB</t>
        </is>
      </c>
      <c r="G100" t="n">
        <v>2.2</v>
      </c>
      <c r="H100" t="n">
        <v>0</v>
      </c>
      <c r="I100" t="n">
        <v>0</v>
      </c>
      <c r="J100" t="n">
        <v>1</v>
      </c>
      <c r="K100" t="n">
        <v>1</v>
      </c>
      <c r="L100" t="n">
        <v>0</v>
      </c>
      <c r="M100" t="n">
        <v>0</v>
      </c>
      <c r="N100" t="n">
        <v>0</v>
      </c>
      <c r="O100" t="n">
        <v>2</v>
      </c>
      <c r="P100" t="n">
        <v>1</v>
      </c>
      <c r="Q100" t="n">
        <v>2</v>
      </c>
      <c r="R100" s="2" t="inlineStr">
        <is>
          <t>Goliatmusseron
Blå taggsvamp</t>
        </is>
      </c>
      <c r="S100">
        <f>HYPERLINK("https://klasma.github.io/Logging_2361/artfynd/A 29265-2019 artfynd.xlsx", "A 29265-2019")</f>
        <v/>
      </c>
      <c r="T100">
        <f>HYPERLINK("https://klasma.github.io/Logging_2361/kartor/A 29265-2019 karta.png", "A 29265-2019")</f>
        <v/>
      </c>
      <c r="V100">
        <f>HYPERLINK("https://klasma.github.io/Logging_2361/klagomål/A 29265-2019 FSC-klagomål.docx", "A 29265-2019")</f>
        <v/>
      </c>
      <c r="W100">
        <f>HYPERLINK("https://klasma.github.io/Logging_2361/klagomålsmail/A 29265-2019 FSC-klagomål mail.docx", "A 29265-2019")</f>
        <v/>
      </c>
      <c r="X100">
        <f>HYPERLINK("https://klasma.github.io/Logging_2361/tillsyn/A 29265-2019 tillsynsbegäran.docx", "A 29265-2019")</f>
        <v/>
      </c>
      <c r="Y100">
        <f>HYPERLINK("https://klasma.github.io/Logging_2361/tillsynsmail/A 29265-2019 tillsynsbegäran mail.docx", "A 29265-2019")</f>
        <v/>
      </c>
    </row>
    <row r="101" ht="15" customHeight="1">
      <c r="A101" t="inlineStr">
        <is>
          <t>A 32481-2019</t>
        </is>
      </c>
      <c r="B101" s="1" t="n">
        <v>43644</v>
      </c>
      <c r="C101" s="1" t="n">
        <v>45357</v>
      </c>
      <c r="D101" t="inlineStr">
        <is>
          <t>JÄMTLANDS LÄN</t>
        </is>
      </c>
      <c r="E101" t="inlineStr">
        <is>
          <t>HÄRJEDALEN</t>
        </is>
      </c>
      <c r="F101" t="inlineStr">
        <is>
          <t>SCA</t>
        </is>
      </c>
      <c r="G101" t="n">
        <v>2.3</v>
      </c>
      <c r="H101" t="n">
        <v>0</v>
      </c>
      <c r="I101" t="n">
        <v>0</v>
      </c>
      <c r="J101" t="n">
        <v>2</v>
      </c>
      <c r="K101" t="n">
        <v>0</v>
      </c>
      <c r="L101" t="n">
        <v>0</v>
      </c>
      <c r="M101" t="n">
        <v>0</v>
      </c>
      <c r="N101" t="n">
        <v>0</v>
      </c>
      <c r="O101" t="n">
        <v>2</v>
      </c>
      <c r="P101" t="n">
        <v>0</v>
      </c>
      <c r="Q101" t="n">
        <v>2</v>
      </c>
      <c r="R101" s="2" t="inlineStr">
        <is>
          <t>Blågrå svartspik
Mörk kolflarnlav</t>
        </is>
      </c>
      <c r="S101">
        <f>HYPERLINK("https://klasma.github.io/Logging_2361/artfynd/A 32481-2019 artfynd.xlsx", "A 32481-2019")</f>
        <v/>
      </c>
      <c r="T101">
        <f>HYPERLINK("https://klasma.github.io/Logging_2361/kartor/A 32481-2019 karta.png", "A 32481-2019")</f>
        <v/>
      </c>
      <c r="V101">
        <f>HYPERLINK("https://klasma.github.io/Logging_2361/klagomål/A 32481-2019 FSC-klagomål.docx", "A 32481-2019")</f>
        <v/>
      </c>
      <c r="W101">
        <f>HYPERLINK("https://klasma.github.io/Logging_2361/klagomålsmail/A 32481-2019 FSC-klagomål mail.docx", "A 32481-2019")</f>
        <v/>
      </c>
      <c r="X101">
        <f>HYPERLINK("https://klasma.github.io/Logging_2361/tillsyn/A 32481-2019 tillsynsbegäran.docx", "A 32481-2019")</f>
        <v/>
      </c>
      <c r="Y101">
        <f>HYPERLINK("https://klasma.github.io/Logging_2361/tillsynsmail/A 32481-2019 tillsynsbegäran mail.docx", "A 32481-2019")</f>
        <v/>
      </c>
    </row>
    <row r="102" ht="15" customHeight="1">
      <c r="A102" t="inlineStr">
        <is>
          <t>A 4356-2020</t>
        </is>
      </c>
      <c r="B102" s="1" t="n">
        <v>43857</v>
      </c>
      <c r="C102" s="1" t="n">
        <v>45357</v>
      </c>
      <c r="D102" t="inlineStr">
        <is>
          <t>JÄMTLANDS LÄN</t>
        </is>
      </c>
      <c r="E102" t="inlineStr">
        <is>
          <t>HÄRJEDALEN</t>
        </is>
      </c>
      <c r="F102" t="inlineStr">
        <is>
          <t>Bergvik skog väst AB</t>
        </is>
      </c>
      <c r="G102" t="n">
        <v>51.2</v>
      </c>
      <c r="H102" t="n">
        <v>1</v>
      </c>
      <c r="I102" t="n">
        <v>0</v>
      </c>
      <c r="J102" t="n">
        <v>2</v>
      </c>
      <c r="K102" t="n">
        <v>0</v>
      </c>
      <c r="L102" t="n">
        <v>0</v>
      </c>
      <c r="M102" t="n">
        <v>0</v>
      </c>
      <c r="N102" t="n">
        <v>0</v>
      </c>
      <c r="O102" t="n">
        <v>2</v>
      </c>
      <c r="P102" t="n">
        <v>0</v>
      </c>
      <c r="Q102" t="n">
        <v>2</v>
      </c>
      <c r="R102" s="2" t="inlineStr">
        <is>
          <t>Harticka
Tretåig hackspett</t>
        </is>
      </c>
      <c r="S102">
        <f>HYPERLINK("https://klasma.github.io/Logging_2361/artfynd/A 4356-2020 artfynd.xlsx", "A 4356-2020")</f>
        <v/>
      </c>
      <c r="T102">
        <f>HYPERLINK("https://klasma.github.io/Logging_2361/kartor/A 4356-2020 karta.png", "A 4356-2020")</f>
        <v/>
      </c>
      <c r="V102">
        <f>HYPERLINK("https://klasma.github.io/Logging_2361/klagomål/A 4356-2020 FSC-klagomål.docx", "A 4356-2020")</f>
        <v/>
      </c>
      <c r="W102">
        <f>HYPERLINK("https://klasma.github.io/Logging_2361/klagomålsmail/A 4356-2020 FSC-klagomål mail.docx", "A 4356-2020")</f>
        <v/>
      </c>
      <c r="X102">
        <f>HYPERLINK("https://klasma.github.io/Logging_2361/tillsyn/A 4356-2020 tillsynsbegäran.docx", "A 4356-2020")</f>
        <v/>
      </c>
      <c r="Y102">
        <f>HYPERLINK("https://klasma.github.io/Logging_2361/tillsynsmail/A 4356-2020 tillsynsbegäran mail.docx", "A 4356-2020")</f>
        <v/>
      </c>
      <c r="Z102">
        <f>HYPERLINK("https://klasma.github.io/Logging_2361/fåglar/A 4356-2020 prioriterade fågelarter.docx", "A 4356-2020")</f>
        <v/>
      </c>
    </row>
    <row r="103" ht="15" customHeight="1">
      <c r="A103" t="inlineStr">
        <is>
          <t>A 9510-2020</t>
        </is>
      </c>
      <c r="B103" s="1" t="n">
        <v>43880</v>
      </c>
      <c r="C103" s="1" t="n">
        <v>45357</v>
      </c>
      <c r="D103" t="inlineStr">
        <is>
          <t>JÄMTLANDS LÄN</t>
        </is>
      </c>
      <c r="E103" t="inlineStr">
        <is>
          <t>HÄRJEDALEN</t>
        </is>
      </c>
      <c r="F103" t="inlineStr">
        <is>
          <t>Bergvik skog väst AB</t>
        </is>
      </c>
      <c r="G103" t="n">
        <v>18.7</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HYPERLINK("https://klasma.github.io/Logging_2361/artfynd/A 9510-2020 artfynd.xlsx", "A 9510-2020")</f>
        <v/>
      </c>
      <c r="T103">
        <f>HYPERLINK("https://klasma.github.io/Logging_2361/kartor/A 9510-2020 karta.png", "A 9510-2020")</f>
        <v/>
      </c>
      <c r="V103">
        <f>HYPERLINK("https://klasma.github.io/Logging_2361/klagomål/A 9510-2020 FSC-klagomål.docx", "A 9510-2020")</f>
        <v/>
      </c>
      <c r="W103">
        <f>HYPERLINK("https://klasma.github.io/Logging_2361/klagomålsmail/A 9510-2020 FSC-klagomål mail.docx", "A 9510-2020")</f>
        <v/>
      </c>
      <c r="X103">
        <f>HYPERLINK("https://klasma.github.io/Logging_2361/tillsyn/A 9510-2020 tillsynsbegäran.docx", "A 9510-2020")</f>
        <v/>
      </c>
      <c r="Y103">
        <f>HYPERLINK("https://klasma.github.io/Logging_2361/tillsynsmail/A 9510-2020 tillsynsbegäran mail.docx", "A 9510-2020")</f>
        <v/>
      </c>
      <c r="Z103">
        <f>HYPERLINK("https://klasma.github.io/Logging_2361/fåglar/A 9510-2020 prioriterade fågelarter.docx", "A 9510-2020")</f>
        <v/>
      </c>
    </row>
    <row r="104" ht="15" customHeight="1">
      <c r="A104" t="inlineStr">
        <is>
          <t>A 12954-2020</t>
        </is>
      </c>
      <c r="B104" s="1" t="n">
        <v>43900</v>
      </c>
      <c r="C104" s="1" t="n">
        <v>45357</v>
      </c>
      <c r="D104" t="inlineStr">
        <is>
          <t>JÄMTLANDS LÄN</t>
        </is>
      </c>
      <c r="E104" t="inlineStr">
        <is>
          <t>HÄRJEDALEN</t>
        </is>
      </c>
      <c r="F104" t="inlineStr">
        <is>
          <t>Bergvik skog väst AB</t>
        </is>
      </c>
      <c r="G104" t="n">
        <v>12.1</v>
      </c>
      <c r="H104" t="n">
        <v>0</v>
      </c>
      <c r="I104" t="n">
        <v>2</v>
      </c>
      <c r="J104" t="n">
        <v>0</v>
      </c>
      <c r="K104" t="n">
        <v>0</v>
      </c>
      <c r="L104" t="n">
        <v>0</v>
      </c>
      <c r="M104" t="n">
        <v>0</v>
      </c>
      <c r="N104" t="n">
        <v>0</v>
      </c>
      <c r="O104" t="n">
        <v>0</v>
      </c>
      <c r="P104" t="n">
        <v>0</v>
      </c>
      <c r="Q104" t="n">
        <v>2</v>
      </c>
      <c r="R104" s="2" t="inlineStr">
        <is>
          <t>Blodticka
Vedticka</t>
        </is>
      </c>
      <c r="S104">
        <f>HYPERLINK("https://klasma.github.io/Logging_2361/artfynd/A 12954-2020 artfynd.xlsx", "A 12954-2020")</f>
        <v/>
      </c>
      <c r="T104">
        <f>HYPERLINK("https://klasma.github.io/Logging_2361/kartor/A 12954-2020 karta.png", "A 12954-2020")</f>
        <v/>
      </c>
      <c r="V104">
        <f>HYPERLINK("https://klasma.github.io/Logging_2361/klagomål/A 12954-2020 FSC-klagomål.docx", "A 12954-2020")</f>
        <v/>
      </c>
      <c r="W104">
        <f>HYPERLINK("https://klasma.github.io/Logging_2361/klagomålsmail/A 12954-2020 FSC-klagomål mail.docx", "A 12954-2020")</f>
        <v/>
      </c>
      <c r="X104">
        <f>HYPERLINK("https://klasma.github.io/Logging_2361/tillsyn/A 12954-2020 tillsynsbegäran.docx", "A 12954-2020")</f>
        <v/>
      </c>
      <c r="Y104">
        <f>HYPERLINK("https://klasma.github.io/Logging_2361/tillsynsmail/A 12954-2020 tillsynsbegäran mail.docx", "A 12954-2020")</f>
        <v/>
      </c>
    </row>
    <row r="105" ht="15" customHeight="1">
      <c r="A105" t="inlineStr">
        <is>
          <t>A 68856-2020</t>
        </is>
      </c>
      <c r="B105" s="1" t="n">
        <v>44186</v>
      </c>
      <c r="C105" s="1" t="n">
        <v>45357</v>
      </c>
      <c r="D105" t="inlineStr">
        <is>
          <t>JÄMTLANDS LÄN</t>
        </is>
      </c>
      <c r="E105" t="inlineStr">
        <is>
          <t>HÄRJEDALEN</t>
        </is>
      </c>
      <c r="F105" t="inlineStr">
        <is>
          <t>Holmen skog AB</t>
        </is>
      </c>
      <c r="G105" t="n">
        <v>4.3</v>
      </c>
      <c r="H105" t="n">
        <v>1</v>
      </c>
      <c r="I105" t="n">
        <v>1</v>
      </c>
      <c r="J105" t="n">
        <v>0</v>
      </c>
      <c r="K105" t="n">
        <v>0</v>
      </c>
      <c r="L105" t="n">
        <v>0</v>
      </c>
      <c r="M105" t="n">
        <v>0</v>
      </c>
      <c r="N105" t="n">
        <v>0</v>
      </c>
      <c r="O105" t="n">
        <v>0</v>
      </c>
      <c r="P105" t="n">
        <v>0</v>
      </c>
      <c r="Q105" t="n">
        <v>2</v>
      </c>
      <c r="R105" s="2" t="inlineStr">
        <is>
          <t>Dvärgtufs
Nattviol</t>
        </is>
      </c>
      <c r="S105">
        <f>HYPERLINK("https://klasma.github.io/Logging_2361/artfynd/A 68856-2020 artfynd.xlsx", "A 68856-2020")</f>
        <v/>
      </c>
      <c r="T105">
        <f>HYPERLINK("https://klasma.github.io/Logging_2361/kartor/A 68856-2020 karta.png", "A 68856-2020")</f>
        <v/>
      </c>
      <c r="V105">
        <f>HYPERLINK("https://klasma.github.io/Logging_2361/klagomål/A 68856-2020 FSC-klagomål.docx", "A 68856-2020")</f>
        <v/>
      </c>
      <c r="W105">
        <f>HYPERLINK("https://klasma.github.io/Logging_2361/klagomålsmail/A 68856-2020 FSC-klagomål mail.docx", "A 68856-2020")</f>
        <v/>
      </c>
      <c r="X105">
        <f>HYPERLINK("https://klasma.github.io/Logging_2361/tillsyn/A 68856-2020 tillsynsbegäran.docx", "A 68856-2020")</f>
        <v/>
      </c>
      <c r="Y105">
        <f>HYPERLINK("https://klasma.github.io/Logging_2361/tillsynsmail/A 68856-2020 tillsynsbegäran mail.docx", "A 68856-2020")</f>
        <v/>
      </c>
    </row>
    <row r="106" ht="15" customHeight="1">
      <c r="A106" t="inlineStr">
        <is>
          <t>A 3699-2021</t>
        </is>
      </c>
      <c r="B106" s="1" t="n">
        <v>44221</v>
      </c>
      <c r="C106" s="1" t="n">
        <v>45357</v>
      </c>
      <c r="D106" t="inlineStr">
        <is>
          <t>JÄMTLANDS LÄN</t>
        </is>
      </c>
      <c r="E106" t="inlineStr">
        <is>
          <t>HÄRJEDALEN</t>
        </is>
      </c>
      <c r="G106" t="n">
        <v>10.1</v>
      </c>
      <c r="H106" t="n">
        <v>0</v>
      </c>
      <c r="I106" t="n">
        <v>0</v>
      </c>
      <c r="J106" t="n">
        <v>0</v>
      </c>
      <c r="K106" t="n">
        <v>2</v>
      </c>
      <c r="L106" t="n">
        <v>0</v>
      </c>
      <c r="M106" t="n">
        <v>0</v>
      </c>
      <c r="N106" t="n">
        <v>0</v>
      </c>
      <c r="O106" t="n">
        <v>2</v>
      </c>
      <c r="P106" t="n">
        <v>2</v>
      </c>
      <c r="Q106" t="n">
        <v>2</v>
      </c>
      <c r="R106" s="2" t="inlineStr">
        <is>
          <t>Fläckporing
Gräddporing</t>
        </is>
      </c>
      <c r="S106">
        <f>HYPERLINK("https://klasma.github.io/Logging_2361/artfynd/A 3699-2021 artfynd.xlsx", "A 3699-2021")</f>
        <v/>
      </c>
      <c r="T106">
        <f>HYPERLINK("https://klasma.github.io/Logging_2361/kartor/A 3699-2021 karta.png", "A 3699-2021")</f>
        <v/>
      </c>
      <c r="V106">
        <f>HYPERLINK("https://klasma.github.io/Logging_2361/klagomål/A 3699-2021 FSC-klagomål.docx", "A 3699-2021")</f>
        <v/>
      </c>
      <c r="W106">
        <f>HYPERLINK("https://klasma.github.io/Logging_2361/klagomålsmail/A 3699-2021 FSC-klagomål mail.docx", "A 3699-2021")</f>
        <v/>
      </c>
      <c r="X106">
        <f>HYPERLINK("https://klasma.github.io/Logging_2361/tillsyn/A 3699-2021 tillsynsbegäran.docx", "A 3699-2021")</f>
        <v/>
      </c>
      <c r="Y106">
        <f>HYPERLINK("https://klasma.github.io/Logging_2361/tillsynsmail/A 3699-2021 tillsynsbegäran mail.docx", "A 3699-2021")</f>
        <v/>
      </c>
    </row>
    <row r="107" ht="15" customHeight="1">
      <c r="A107" t="inlineStr">
        <is>
          <t>A 15679-2021</t>
        </is>
      </c>
      <c r="B107" s="1" t="n">
        <v>44286</v>
      </c>
      <c r="C107" s="1" t="n">
        <v>45357</v>
      </c>
      <c r="D107" t="inlineStr">
        <is>
          <t>JÄMTLANDS LÄN</t>
        </is>
      </c>
      <c r="E107" t="inlineStr">
        <is>
          <t>HÄRJEDALEN</t>
        </is>
      </c>
      <c r="G107" t="n">
        <v>20.9</v>
      </c>
      <c r="H107" t="n">
        <v>0</v>
      </c>
      <c r="I107" t="n">
        <v>0</v>
      </c>
      <c r="J107" t="n">
        <v>2</v>
      </c>
      <c r="K107" t="n">
        <v>0</v>
      </c>
      <c r="L107" t="n">
        <v>0</v>
      </c>
      <c r="M107" t="n">
        <v>0</v>
      </c>
      <c r="N107" t="n">
        <v>0</v>
      </c>
      <c r="O107" t="n">
        <v>2</v>
      </c>
      <c r="P107" t="n">
        <v>0</v>
      </c>
      <c r="Q107" t="n">
        <v>2</v>
      </c>
      <c r="R107" s="2" t="inlineStr">
        <is>
          <t>Gränsticka
Hornvaxskinn</t>
        </is>
      </c>
      <c r="S107">
        <f>HYPERLINK("https://klasma.github.io/Logging_2361/artfynd/A 15679-2021 artfynd.xlsx", "A 15679-2021")</f>
        <v/>
      </c>
      <c r="T107">
        <f>HYPERLINK("https://klasma.github.io/Logging_2361/kartor/A 15679-2021 karta.png", "A 15679-2021")</f>
        <v/>
      </c>
      <c r="V107">
        <f>HYPERLINK("https://klasma.github.io/Logging_2361/klagomål/A 15679-2021 FSC-klagomål.docx", "A 15679-2021")</f>
        <v/>
      </c>
      <c r="W107">
        <f>HYPERLINK("https://klasma.github.io/Logging_2361/klagomålsmail/A 15679-2021 FSC-klagomål mail.docx", "A 15679-2021")</f>
        <v/>
      </c>
      <c r="X107">
        <f>HYPERLINK("https://klasma.github.io/Logging_2361/tillsyn/A 15679-2021 tillsynsbegäran.docx", "A 15679-2021")</f>
        <v/>
      </c>
      <c r="Y107">
        <f>HYPERLINK("https://klasma.github.io/Logging_2361/tillsynsmail/A 15679-2021 tillsynsbegäran mail.docx", "A 15679-2021")</f>
        <v/>
      </c>
    </row>
    <row r="108" ht="15" customHeight="1">
      <c r="A108" t="inlineStr">
        <is>
          <t>A 33421-2021</t>
        </is>
      </c>
      <c r="B108" s="1" t="n">
        <v>44377</v>
      </c>
      <c r="C108" s="1" t="n">
        <v>45357</v>
      </c>
      <c r="D108" t="inlineStr">
        <is>
          <t>JÄMTLANDS LÄN</t>
        </is>
      </c>
      <c r="E108" t="inlineStr">
        <is>
          <t>HÄRJEDALEN</t>
        </is>
      </c>
      <c r="G108" t="n">
        <v>47.1</v>
      </c>
      <c r="H108" t="n">
        <v>1</v>
      </c>
      <c r="I108" t="n">
        <v>0</v>
      </c>
      <c r="J108" t="n">
        <v>2</v>
      </c>
      <c r="K108" t="n">
        <v>0</v>
      </c>
      <c r="L108" t="n">
        <v>0</v>
      </c>
      <c r="M108" t="n">
        <v>0</v>
      </c>
      <c r="N108" t="n">
        <v>0</v>
      </c>
      <c r="O108" t="n">
        <v>2</v>
      </c>
      <c r="P108" t="n">
        <v>0</v>
      </c>
      <c r="Q108" t="n">
        <v>2</v>
      </c>
      <c r="R108" s="2" t="inlineStr">
        <is>
          <t>Gultoppig fingersvamp
Talltita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42826-2021</t>
        </is>
      </c>
      <c r="B109" s="1" t="n">
        <v>44430</v>
      </c>
      <c r="C109" s="1" t="n">
        <v>45357</v>
      </c>
      <c r="D109" t="inlineStr">
        <is>
          <t>JÄMTLANDS LÄN</t>
        </is>
      </c>
      <c r="E109" t="inlineStr">
        <is>
          <t>HÄRJEDALEN</t>
        </is>
      </c>
      <c r="F109" t="inlineStr">
        <is>
          <t>Sveaskog</t>
        </is>
      </c>
      <c r="G109" t="n">
        <v>8.1</v>
      </c>
      <c r="H109" t="n">
        <v>1</v>
      </c>
      <c r="I109" t="n">
        <v>0</v>
      </c>
      <c r="J109" t="n">
        <v>1</v>
      </c>
      <c r="K109" t="n">
        <v>1</v>
      </c>
      <c r="L109" t="n">
        <v>0</v>
      </c>
      <c r="M109" t="n">
        <v>0</v>
      </c>
      <c r="N109" t="n">
        <v>0</v>
      </c>
      <c r="O109" t="n">
        <v>2</v>
      </c>
      <c r="P109" t="n">
        <v>1</v>
      </c>
      <c r="Q109" t="n">
        <v>2</v>
      </c>
      <c r="R109" s="2" t="inlineStr">
        <is>
          <t>Knärot
Garnlav</t>
        </is>
      </c>
      <c r="S109">
        <f>HYPERLINK("https://klasma.github.io/Logging_2361/artfynd/A 42826-2021 artfynd.xlsx", "A 42826-2021")</f>
        <v/>
      </c>
      <c r="T109">
        <f>HYPERLINK("https://klasma.github.io/Logging_2361/kartor/A 42826-2021 karta.png", "A 42826-2021")</f>
        <v/>
      </c>
      <c r="U109">
        <f>HYPERLINK("https://klasma.github.io/Logging_2361/knärot/A 42826-2021 karta knärot.png", "A 42826-2021")</f>
        <v/>
      </c>
      <c r="V109">
        <f>HYPERLINK("https://klasma.github.io/Logging_2361/klagomål/A 42826-2021 FSC-klagomål.docx", "A 42826-2021")</f>
        <v/>
      </c>
      <c r="W109">
        <f>HYPERLINK("https://klasma.github.io/Logging_2361/klagomålsmail/A 42826-2021 FSC-klagomål mail.docx", "A 42826-2021")</f>
        <v/>
      </c>
      <c r="X109">
        <f>HYPERLINK("https://klasma.github.io/Logging_2361/tillsyn/A 42826-2021 tillsynsbegäran.docx", "A 42826-2021")</f>
        <v/>
      </c>
      <c r="Y109">
        <f>HYPERLINK("https://klasma.github.io/Logging_2361/tillsynsmail/A 42826-2021 tillsynsbegäran mail.docx", "A 42826-2021")</f>
        <v/>
      </c>
    </row>
    <row r="110" ht="15" customHeight="1">
      <c r="A110" t="inlineStr">
        <is>
          <t>A 55240-2021</t>
        </is>
      </c>
      <c r="B110" s="1" t="n">
        <v>44475</v>
      </c>
      <c r="C110" s="1" t="n">
        <v>45357</v>
      </c>
      <c r="D110" t="inlineStr">
        <is>
          <t>JÄMTLANDS LÄN</t>
        </is>
      </c>
      <c r="E110" t="inlineStr">
        <is>
          <t>HÄRJEDALEN</t>
        </is>
      </c>
      <c r="G110" t="n">
        <v>3.5</v>
      </c>
      <c r="H110" t="n">
        <v>1</v>
      </c>
      <c r="I110" t="n">
        <v>0</v>
      </c>
      <c r="J110" t="n">
        <v>1</v>
      </c>
      <c r="K110" t="n">
        <v>1</v>
      </c>
      <c r="L110" t="n">
        <v>0</v>
      </c>
      <c r="M110" t="n">
        <v>0</v>
      </c>
      <c r="N110" t="n">
        <v>0</v>
      </c>
      <c r="O110" t="n">
        <v>2</v>
      </c>
      <c r="P110" t="n">
        <v>1</v>
      </c>
      <c r="Q110" t="n">
        <v>2</v>
      </c>
      <c r="R110" s="2" t="inlineStr">
        <is>
          <t>Varglavsknöl
Varglav</t>
        </is>
      </c>
      <c r="S110">
        <f>HYPERLINK("https://klasma.github.io/Logging_2361/artfynd/A 55240-2021 artfynd.xlsx", "A 55240-2021")</f>
        <v/>
      </c>
      <c r="T110">
        <f>HYPERLINK("https://klasma.github.io/Logging_2361/kartor/A 55240-2021 karta.png", "A 55240-2021")</f>
        <v/>
      </c>
      <c r="V110">
        <f>HYPERLINK("https://klasma.github.io/Logging_2361/klagomål/A 55240-2021 FSC-klagomål.docx", "A 55240-2021")</f>
        <v/>
      </c>
      <c r="W110">
        <f>HYPERLINK("https://klasma.github.io/Logging_2361/klagomålsmail/A 55240-2021 FSC-klagomål mail.docx", "A 55240-2021")</f>
        <v/>
      </c>
      <c r="X110">
        <f>HYPERLINK("https://klasma.github.io/Logging_2361/tillsyn/A 55240-2021 tillsynsbegäran.docx", "A 55240-2021")</f>
        <v/>
      </c>
      <c r="Y110">
        <f>HYPERLINK("https://klasma.github.io/Logging_2361/tillsynsmail/A 55240-2021 tillsynsbegäran mail.docx", "A 55240-2021")</f>
        <v/>
      </c>
    </row>
    <row r="111" ht="15" customHeight="1">
      <c r="A111" t="inlineStr">
        <is>
          <t>A 55228-2021</t>
        </is>
      </c>
      <c r="B111" s="1" t="n">
        <v>44475</v>
      </c>
      <c r="C111" s="1" t="n">
        <v>45357</v>
      </c>
      <c r="D111" t="inlineStr">
        <is>
          <t>JÄMTLANDS LÄN</t>
        </is>
      </c>
      <c r="E111" t="inlineStr">
        <is>
          <t>HÄRJEDALEN</t>
        </is>
      </c>
      <c r="G111" t="n">
        <v>1.7</v>
      </c>
      <c r="H111" t="n">
        <v>1</v>
      </c>
      <c r="I111" t="n">
        <v>0</v>
      </c>
      <c r="J111" t="n">
        <v>2</v>
      </c>
      <c r="K111" t="n">
        <v>0</v>
      </c>
      <c r="L111" t="n">
        <v>0</v>
      </c>
      <c r="M111" t="n">
        <v>0</v>
      </c>
      <c r="N111" t="n">
        <v>0</v>
      </c>
      <c r="O111" t="n">
        <v>2</v>
      </c>
      <c r="P111" t="n">
        <v>0</v>
      </c>
      <c r="Q111" t="n">
        <v>2</v>
      </c>
      <c r="R111" s="2" t="inlineStr">
        <is>
          <t>Varglav
Vedflamlav</t>
        </is>
      </c>
      <c r="S111">
        <f>HYPERLINK("https://klasma.github.io/Logging_2361/artfynd/A 55228-2021 artfynd.xlsx", "A 55228-2021")</f>
        <v/>
      </c>
      <c r="T111">
        <f>HYPERLINK("https://klasma.github.io/Logging_2361/kartor/A 55228-2021 karta.png", "A 55228-2021")</f>
        <v/>
      </c>
      <c r="V111">
        <f>HYPERLINK("https://klasma.github.io/Logging_2361/klagomål/A 55228-2021 FSC-klagomål.docx", "A 55228-2021")</f>
        <v/>
      </c>
      <c r="W111">
        <f>HYPERLINK("https://klasma.github.io/Logging_2361/klagomålsmail/A 55228-2021 FSC-klagomål mail.docx", "A 55228-2021")</f>
        <v/>
      </c>
      <c r="X111">
        <f>HYPERLINK("https://klasma.github.io/Logging_2361/tillsyn/A 55228-2021 tillsynsbegäran.docx", "A 55228-2021")</f>
        <v/>
      </c>
      <c r="Y111">
        <f>HYPERLINK("https://klasma.github.io/Logging_2361/tillsynsmail/A 55228-2021 tillsynsbegäran mail.docx", "A 55228-2021")</f>
        <v/>
      </c>
    </row>
    <row r="112" ht="15" customHeight="1">
      <c r="A112" t="inlineStr">
        <is>
          <t>A 55392-2021</t>
        </is>
      </c>
      <c r="B112" s="1" t="n">
        <v>44475</v>
      </c>
      <c r="C112" s="1" t="n">
        <v>45357</v>
      </c>
      <c r="D112" t="inlineStr">
        <is>
          <t>JÄMTLANDS LÄN</t>
        </is>
      </c>
      <c r="E112" t="inlineStr">
        <is>
          <t>HÄRJEDALEN</t>
        </is>
      </c>
      <c r="G112" t="n">
        <v>0.8</v>
      </c>
      <c r="H112" t="n">
        <v>0</v>
      </c>
      <c r="I112" t="n">
        <v>0</v>
      </c>
      <c r="J112" t="n">
        <v>2</v>
      </c>
      <c r="K112" t="n">
        <v>0</v>
      </c>
      <c r="L112" t="n">
        <v>0</v>
      </c>
      <c r="M112" t="n">
        <v>0</v>
      </c>
      <c r="N112" t="n">
        <v>0</v>
      </c>
      <c r="O112" t="n">
        <v>2</v>
      </c>
      <c r="P112" t="n">
        <v>0</v>
      </c>
      <c r="Q112" t="n">
        <v>2</v>
      </c>
      <c r="R112" s="2" t="inlineStr">
        <is>
          <t>Ladlav
Vedflamlav</t>
        </is>
      </c>
      <c r="S112">
        <f>HYPERLINK("https://klasma.github.io/Logging_2361/artfynd/A 55392-2021 artfynd.xlsx", "A 55392-2021")</f>
        <v/>
      </c>
      <c r="T112">
        <f>HYPERLINK("https://klasma.github.io/Logging_2361/kartor/A 55392-2021 karta.png", "A 55392-2021")</f>
        <v/>
      </c>
      <c r="V112">
        <f>HYPERLINK("https://klasma.github.io/Logging_2361/klagomål/A 55392-2021 FSC-klagomål.docx", "A 55392-2021")</f>
        <v/>
      </c>
      <c r="W112">
        <f>HYPERLINK("https://klasma.github.io/Logging_2361/klagomålsmail/A 55392-2021 FSC-klagomål mail.docx", "A 55392-2021")</f>
        <v/>
      </c>
      <c r="X112">
        <f>HYPERLINK("https://klasma.github.io/Logging_2361/tillsyn/A 55392-2021 tillsynsbegäran.docx", "A 55392-2021")</f>
        <v/>
      </c>
      <c r="Y112">
        <f>HYPERLINK("https://klasma.github.io/Logging_2361/tillsynsmail/A 55392-2021 tillsynsbegäran mail.docx", "A 55392-2021")</f>
        <v/>
      </c>
    </row>
    <row r="113" ht="15" customHeight="1">
      <c r="A113" t="inlineStr">
        <is>
          <t>A 17082-2022</t>
        </is>
      </c>
      <c r="B113" s="1" t="n">
        <v>44677</v>
      </c>
      <c r="C113" s="1" t="n">
        <v>45357</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22464-2022</t>
        </is>
      </c>
      <c r="B114" s="1" t="n">
        <v>44713</v>
      </c>
      <c r="C114" s="1" t="n">
        <v>45357</v>
      </c>
      <c r="D114" t="inlineStr">
        <is>
          <t>JÄMTLANDS LÄN</t>
        </is>
      </c>
      <c r="E114" t="inlineStr">
        <is>
          <t>HÄRJEDALEN</t>
        </is>
      </c>
      <c r="F114" t="inlineStr">
        <is>
          <t>Sveaskog</t>
        </is>
      </c>
      <c r="G114" t="n">
        <v>4.3</v>
      </c>
      <c r="H114" t="n">
        <v>0</v>
      </c>
      <c r="I114" t="n">
        <v>1</v>
      </c>
      <c r="J114" t="n">
        <v>1</v>
      </c>
      <c r="K114" t="n">
        <v>0</v>
      </c>
      <c r="L114" t="n">
        <v>0</v>
      </c>
      <c r="M114" t="n">
        <v>0</v>
      </c>
      <c r="N114" t="n">
        <v>0</v>
      </c>
      <c r="O114" t="n">
        <v>1</v>
      </c>
      <c r="P114" t="n">
        <v>0</v>
      </c>
      <c r="Q114" t="n">
        <v>2</v>
      </c>
      <c r="R114" s="2" t="inlineStr">
        <is>
          <t>Lunglav
Dropptaggsvamp</t>
        </is>
      </c>
      <c r="S114">
        <f>HYPERLINK("https://klasma.github.io/Logging_2361/artfynd/A 22464-2022 artfynd.xlsx", "A 22464-2022")</f>
        <v/>
      </c>
      <c r="T114">
        <f>HYPERLINK("https://klasma.github.io/Logging_2361/kartor/A 22464-2022 karta.png", "A 22464-2022")</f>
        <v/>
      </c>
      <c r="U114">
        <f>HYPERLINK("https://klasma.github.io/Logging_2361/knärot/A 22464-2022 karta knärot.png", "A 22464-2022")</f>
        <v/>
      </c>
      <c r="V114">
        <f>HYPERLINK("https://klasma.github.io/Logging_2361/klagomål/A 22464-2022 FSC-klagomål.docx", "A 22464-2022")</f>
        <v/>
      </c>
      <c r="W114">
        <f>HYPERLINK("https://klasma.github.io/Logging_2361/klagomålsmail/A 22464-2022 FSC-klagomål mail.docx", "A 22464-2022")</f>
        <v/>
      </c>
      <c r="X114">
        <f>HYPERLINK("https://klasma.github.io/Logging_2361/tillsyn/A 22464-2022 tillsynsbegäran.docx", "A 22464-2022")</f>
        <v/>
      </c>
      <c r="Y114">
        <f>HYPERLINK("https://klasma.github.io/Logging_2361/tillsynsmail/A 22464-2022 tillsynsbegäran mail.docx", "A 22464-2022")</f>
        <v/>
      </c>
    </row>
    <row r="115" ht="15" customHeight="1">
      <c r="A115" t="inlineStr">
        <is>
          <t>A 47348-2022</t>
        </is>
      </c>
      <c r="B115" s="1" t="n">
        <v>44853</v>
      </c>
      <c r="C115" s="1" t="n">
        <v>45357</v>
      </c>
      <c r="D115" t="inlineStr">
        <is>
          <t>JÄMTLANDS LÄN</t>
        </is>
      </c>
      <c r="E115" t="inlineStr">
        <is>
          <t>HÄRJEDALEN</t>
        </is>
      </c>
      <c r="G115" t="n">
        <v>2</v>
      </c>
      <c r="H115" t="n">
        <v>1</v>
      </c>
      <c r="I115" t="n">
        <v>0</v>
      </c>
      <c r="J115" t="n">
        <v>1</v>
      </c>
      <c r="K115" t="n">
        <v>1</v>
      </c>
      <c r="L115" t="n">
        <v>0</v>
      </c>
      <c r="M115" t="n">
        <v>0</v>
      </c>
      <c r="N115" t="n">
        <v>0</v>
      </c>
      <c r="O115" t="n">
        <v>2</v>
      </c>
      <c r="P115" t="n">
        <v>1</v>
      </c>
      <c r="Q115" t="n">
        <v>2</v>
      </c>
      <c r="R115" s="2" t="inlineStr">
        <is>
          <t>Knärot
Lunglav</t>
        </is>
      </c>
      <c r="S115">
        <f>HYPERLINK("https://klasma.github.io/Logging_2361/artfynd/A 47348-2022 artfynd.xlsx", "A 47348-2022")</f>
        <v/>
      </c>
      <c r="T115">
        <f>HYPERLINK("https://klasma.github.io/Logging_2361/kartor/A 47348-2022 karta.png", "A 47348-2022")</f>
        <v/>
      </c>
      <c r="U115">
        <f>HYPERLINK("https://klasma.github.io/Logging_2361/knärot/A 47348-2022 karta knärot.png", "A 47348-2022")</f>
        <v/>
      </c>
      <c r="V115">
        <f>HYPERLINK("https://klasma.github.io/Logging_2361/klagomål/A 47348-2022 FSC-klagomål.docx", "A 47348-2022")</f>
        <v/>
      </c>
      <c r="W115">
        <f>HYPERLINK("https://klasma.github.io/Logging_2361/klagomålsmail/A 47348-2022 FSC-klagomål mail.docx", "A 47348-2022")</f>
        <v/>
      </c>
      <c r="X115">
        <f>HYPERLINK("https://klasma.github.io/Logging_2361/tillsyn/A 47348-2022 tillsynsbegäran.docx", "A 47348-2022")</f>
        <v/>
      </c>
      <c r="Y115">
        <f>HYPERLINK("https://klasma.github.io/Logging_2361/tillsynsmail/A 47348-2022 tillsynsbegäran mail.docx", "A 47348-2022")</f>
        <v/>
      </c>
    </row>
    <row r="116" ht="15" customHeight="1">
      <c r="A116" t="inlineStr">
        <is>
          <t>A 50438-2022</t>
        </is>
      </c>
      <c r="B116" s="1" t="n">
        <v>44866</v>
      </c>
      <c r="C116" s="1" t="n">
        <v>45357</v>
      </c>
      <c r="D116" t="inlineStr">
        <is>
          <t>JÄMTLANDS LÄN</t>
        </is>
      </c>
      <c r="E116" t="inlineStr">
        <is>
          <t>HÄRJEDALEN</t>
        </is>
      </c>
      <c r="F116" t="inlineStr">
        <is>
          <t>Bergvik skog väst AB</t>
        </is>
      </c>
      <c r="G116" t="n">
        <v>4.6</v>
      </c>
      <c r="H116" t="n">
        <v>1</v>
      </c>
      <c r="I116" t="n">
        <v>0</v>
      </c>
      <c r="J116" t="n">
        <v>1</v>
      </c>
      <c r="K116" t="n">
        <v>1</v>
      </c>
      <c r="L116" t="n">
        <v>0</v>
      </c>
      <c r="M116" t="n">
        <v>0</v>
      </c>
      <c r="N116" t="n">
        <v>0</v>
      </c>
      <c r="O116" t="n">
        <v>2</v>
      </c>
      <c r="P116" t="n">
        <v>1</v>
      </c>
      <c r="Q116" t="n">
        <v>2</v>
      </c>
      <c r="R116" s="2" t="inlineStr">
        <is>
          <t>Knärot
Skrovellav</t>
        </is>
      </c>
      <c r="S116">
        <f>HYPERLINK("https://klasma.github.io/Logging_2361/artfynd/A 50438-2022 artfynd.xlsx", "A 50438-2022")</f>
        <v/>
      </c>
      <c r="T116">
        <f>HYPERLINK("https://klasma.github.io/Logging_2361/kartor/A 50438-2022 karta.png", "A 50438-2022")</f>
        <v/>
      </c>
      <c r="U116">
        <f>HYPERLINK("https://klasma.github.io/Logging_2361/knärot/A 50438-2022 karta knärot.png", "A 50438-2022")</f>
        <v/>
      </c>
      <c r="V116">
        <f>HYPERLINK("https://klasma.github.io/Logging_2361/klagomål/A 50438-2022 FSC-klagomål.docx", "A 50438-2022")</f>
        <v/>
      </c>
      <c r="W116">
        <f>HYPERLINK("https://klasma.github.io/Logging_2361/klagomålsmail/A 50438-2022 FSC-klagomål mail.docx", "A 50438-2022")</f>
        <v/>
      </c>
      <c r="X116">
        <f>HYPERLINK("https://klasma.github.io/Logging_2361/tillsyn/A 50438-2022 tillsynsbegäran.docx", "A 50438-2022")</f>
        <v/>
      </c>
      <c r="Y116">
        <f>HYPERLINK("https://klasma.github.io/Logging_2361/tillsynsmail/A 50438-2022 tillsynsbegäran mail.docx", "A 50438-2022")</f>
        <v/>
      </c>
    </row>
    <row r="117" ht="15" customHeight="1">
      <c r="A117" t="inlineStr">
        <is>
          <t>A 52453-2022</t>
        </is>
      </c>
      <c r="B117" s="1" t="n">
        <v>44874</v>
      </c>
      <c r="C117" s="1" t="n">
        <v>45357</v>
      </c>
      <c r="D117" t="inlineStr">
        <is>
          <t>JÄMTLANDS LÄN</t>
        </is>
      </c>
      <c r="E117" t="inlineStr">
        <is>
          <t>HÄRJEDALEN</t>
        </is>
      </c>
      <c r="F117" t="inlineStr">
        <is>
          <t>Bergvik skog väst AB</t>
        </is>
      </c>
      <c r="G117" t="n">
        <v>14.9</v>
      </c>
      <c r="H117" t="n">
        <v>0</v>
      </c>
      <c r="I117" t="n">
        <v>0</v>
      </c>
      <c r="J117" t="n">
        <v>2</v>
      </c>
      <c r="K117" t="n">
        <v>0</v>
      </c>
      <c r="L117" t="n">
        <v>0</v>
      </c>
      <c r="M117" t="n">
        <v>0</v>
      </c>
      <c r="N117" t="n">
        <v>0</v>
      </c>
      <c r="O117" t="n">
        <v>2</v>
      </c>
      <c r="P117" t="n">
        <v>0</v>
      </c>
      <c r="Q117" t="n">
        <v>2</v>
      </c>
      <c r="R117" s="2" t="inlineStr">
        <is>
          <t>Knottrig blåslav
Mörk kolflarnlav</t>
        </is>
      </c>
      <c r="S117">
        <f>HYPERLINK("https://klasma.github.io/Logging_2361/artfynd/A 52453-2022 artfynd.xlsx", "A 52453-2022")</f>
        <v/>
      </c>
      <c r="T117">
        <f>HYPERLINK("https://klasma.github.io/Logging_2361/kartor/A 52453-2022 karta.png", "A 52453-2022")</f>
        <v/>
      </c>
      <c r="V117">
        <f>HYPERLINK("https://klasma.github.io/Logging_2361/klagomål/A 52453-2022 FSC-klagomål.docx", "A 52453-2022")</f>
        <v/>
      </c>
      <c r="W117">
        <f>HYPERLINK("https://klasma.github.io/Logging_2361/klagomålsmail/A 52453-2022 FSC-klagomål mail.docx", "A 52453-2022")</f>
        <v/>
      </c>
      <c r="X117">
        <f>HYPERLINK("https://klasma.github.io/Logging_2361/tillsyn/A 52453-2022 tillsynsbegäran.docx", "A 52453-2022")</f>
        <v/>
      </c>
      <c r="Y117">
        <f>HYPERLINK("https://klasma.github.io/Logging_2361/tillsynsmail/A 52453-2022 tillsynsbegäran mail.docx", "A 52453-2022")</f>
        <v/>
      </c>
    </row>
    <row r="118" ht="15" customHeight="1">
      <c r="A118" t="inlineStr">
        <is>
          <t>A 4372-2023</t>
        </is>
      </c>
      <c r="B118" s="1" t="n">
        <v>44955</v>
      </c>
      <c r="C118" s="1" t="n">
        <v>45357</v>
      </c>
      <c r="D118" t="inlineStr">
        <is>
          <t>JÄMTLANDS LÄN</t>
        </is>
      </c>
      <c r="E118" t="inlineStr">
        <is>
          <t>HÄRJEDALEN</t>
        </is>
      </c>
      <c r="G118" t="n">
        <v>10.1</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HYPERLINK("https://klasma.github.io/Logging_2361/artfynd/A 4372-2023 artfynd.xlsx", "A 4372-2023")</f>
        <v/>
      </c>
      <c r="T118">
        <f>HYPERLINK("https://klasma.github.io/Logging_2361/kartor/A 4372-2023 karta.png", "A 4372-2023")</f>
        <v/>
      </c>
      <c r="V118">
        <f>HYPERLINK("https://klasma.github.io/Logging_2361/klagomål/A 4372-2023 FSC-klagomål.docx", "A 4372-2023")</f>
        <v/>
      </c>
      <c r="W118">
        <f>HYPERLINK("https://klasma.github.io/Logging_2361/klagomålsmail/A 4372-2023 FSC-klagomål mail.docx", "A 4372-2023")</f>
        <v/>
      </c>
      <c r="X118">
        <f>HYPERLINK("https://klasma.github.io/Logging_2361/tillsyn/A 4372-2023 tillsynsbegäran.docx", "A 4372-2023")</f>
        <v/>
      </c>
      <c r="Y118">
        <f>HYPERLINK("https://klasma.github.io/Logging_2361/tillsynsmail/A 4372-2023 tillsynsbegäran mail.docx", "A 4372-2023")</f>
        <v/>
      </c>
      <c r="Z118">
        <f>HYPERLINK("https://klasma.github.io/Logging_2361/fåglar/A 4372-2023 prioriterade fågelarter.docx", "A 4372-2023")</f>
        <v/>
      </c>
    </row>
    <row r="119" ht="15" customHeight="1">
      <c r="A119" t="inlineStr">
        <is>
          <t>A 10344-2023</t>
        </is>
      </c>
      <c r="B119" s="1" t="n">
        <v>44987</v>
      </c>
      <c r="C119" s="1" t="n">
        <v>45357</v>
      </c>
      <c r="D119" t="inlineStr">
        <is>
          <t>JÄMTLANDS LÄN</t>
        </is>
      </c>
      <c r="E119" t="inlineStr">
        <is>
          <t>HÄRJEDALEN</t>
        </is>
      </c>
      <c r="F119" t="inlineStr">
        <is>
          <t>Holmen skog AB</t>
        </is>
      </c>
      <c r="G119" t="n">
        <v>7.2</v>
      </c>
      <c r="H119" t="n">
        <v>0</v>
      </c>
      <c r="I119" t="n">
        <v>0</v>
      </c>
      <c r="J119" t="n">
        <v>2</v>
      </c>
      <c r="K119" t="n">
        <v>0</v>
      </c>
      <c r="L119" t="n">
        <v>0</v>
      </c>
      <c r="M119" t="n">
        <v>0</v>
      </c>
      <c r="N119" t="n">
        <v>0</v>
      </c>
      <c r="O119" t="n">
        <v>2</v>
      </c>
      <c r="P119" t="n">
        <v>0</v>
      </c>
      <c r="Q119" t="n">
        <v>2</v>
      </c>
      <c r="R119" s="2" t="inlineStr">
        <is>
          <t>Lunglav
Skrovellav</t>
        </is>
      </c>
      <c r="S119">
        <f>HYPERLINK("https://klasma.github.io/Logging_2361/artfynd/A 10344-2023 artfynd.xlsx", "A 10344-2023")</f>
        <v/>
      </c>
      <c r="T119">
        <f>HYPERLINK("https://klasma.github.io/Logging_2361/kartor/A 10344-2023 karta.png", "A 10344-2023")</f>
        <v/>
      </c>
      <c r="U119">
        <f>HYPERLINK("https://klasma.github.io/Logging_2361/knärot/A 10344-2023 karta knärot.png", "A 10344-2023")</f>
        <v/>
      </c>
      <c r="V119">
        <f>HYPERLINK("https://klasma.github.io/Logging_2361/klagomål/A 10344-2023 FSC-klagomål.docx", "A 10344-2023")</f>
        <v/>
      </c>
      <c r="W119">
        <f>HYPERLINK("https://klasma.github.io/Logging_2361/klagomålsmail/A 10344-2023 FSC-klagomål mail.docx", "A 10344-2023")</f>
        <v/>
      </c>
      <c r="X119">
        <f>HYPERLINK("https://klasma.github.io/Logging_2361/tillsyn/A 10344-2023 tillsynsbegäran.docx", "A 10344-2023")</f>
        <v/>
      </c>
      <c r="Y119">
        <f>HYPERLINK("https://klasma.github.io/Logging_2361/tillsynsmail/A 10344-2023 tillsynsbegäran mail.docx", "A 10344-2023")</f>
        <v/>
      </c>
    </row>
    <row r="120" ht="15" customHeight="1">
      <c r="A120" t="inlineStr">
        <is>
          <t>A 25742-2023</t>
        </is>
      </c>
      <c r="B120" s="1" t="n">
        <v>45090</v>
      </c>
      <c r="C120" s="1" t="n">
        <v>45357</v>
      </c>
      <c r="D120" t="inlineStr">
        <is>
          <t>JÄMTLANDS LÄN</t>
        </is>
      </c>
      <c r="E120" t="inlineStr">
        <is>
          <t>HÄRJEDALEN</t>
        </is>
      </c>
      <c r="F120" t="inlineStr">
        <is>
          <t>Bergvik skog väst AB</t>
        </is>
      </c>
      <c r="G120" t="n">
        <v>55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HYPERLINK("https://klasma.github.io/Logging_2361/artfynd/A 25742-2023 artfynd.xlsx", "A 25742-2023")</f>
        <v/>
      </c>
      <c r="T120">
        <f>HYPERLINK("https://klasma.github.io/Logging_2361/kartor/A 25742-2023 karta.png", "A 25742-2023")</f>
        <v/>
      </c>
      <c r="V120">
        <f>HYPERLINK("https://klasma.github.io/Logging_2361/klagomål/A 25742-2023 FSC-klagomål.docx", "A 25742-2023")</f>
        <v/>
      </c>
      <c r="W120">
        <f>HYPERLINK("https://klasma.github.io/Logging_2361/klagomålsmail/A 25742-2023 FSC-klagomål mail.docx", "A 25742-2023")</f>
        <v/>
      </c>
      <c r="X120">
        <f>HYPERLINK("https://klasma.github.io/Logging_2361/tillsyn/A 25742-2023 tillsynsbegäran.docx", "A 25742-2023")</f>
        <v/>
      </c>
      <c r="Y120">
        <f>HYPERLINK("https://klasma.github.io/Logging_2361/tillsynsmail/A 25742-2023 tillsynsbegäran mail.docx", "A 25742-2023")</f>
        <v/>
      </c>
    </row>
    <row r="121" ht="15" customHeight="1">
      <c r="A121" t="inlineStr">
        <is>
          <t>A 36750-2023</t>
        </is>
      </c>
      <c r="B121" s="1" t="n">
        <v>45153</v>
      </c>
      <c r="C121" s="1" t="n">
        <v>45357</v>
      </c>
      <c r="D121" t="inlineStr">
        <is>
          <t>JÄMTLANDS LÄN</t>
        </is>
      </c>
      <c r="E121" t="inlineStr">
        <is>
          <t>HÄRJEDALEN</t>
        </is>
      </c>
      <c r="G121" t="n">
        <v>8.199999999999999</v>
      </c>
      <c r="H121" t="n">
        <v>1</v>
      </c>
      <c r="I121" t="n">
        <v>0</v>
      </c>
      <c r="J121" t="n">
        <v>2</v>
      </c>
      <c r="K121" t="n">
        <v>0</v>
      </c>
      <c r="L121" t="n">
        <v>0</v>
      </c>
      <c r="M121" t="n">
        <v>0</v>
      </c>
      <c r="N121" t="n">
        <v>0</v>
      </c>
      <c r="O121" t="n">
        <v>2</v>
      </c>
      <c r="P121" t="n">
        <v>0</v>
      </c>
      <c r="Q121" t="n">
        <v>2</v>
      </c>
      <c r="R121" s="2" t="inlineStr">
        <is>
          <t>Järpe
Lunglav</t>
        </is>
      </c>
      <c r="S121">
        <f>HYPERLINK("https://klasma.github.io/Logging_2361/artfynd/A 36750-2023 artfynd.xlsx", "A 36750-2023")</f>
        <v/>
      </c>
      <c r="T121">
        <f>HYPERLINK("https://klasma.github.io/Logging_2361/kartor/A 36750-2023 karta.png", "A 36750-2023")</f>
        <v/>
      </c>
      <c r="V121">
        <f>HYPERLINK("https://klasma.github.io/Logging_2361/klagomål/A 36750-2023 FSC-klagomål.docx", "A 36750-2023")</f>
        <v/>
      </c>
      <c r="W121">
        <f>HYPERLINK("https://klasma.github.io/Logging_2361/klagomålsmail/A 36750-2023 FSC-klagomål mail.docx", "A 36750-2023")</f>
        <v/>
      </c>
      <c r="X121">
        <f>HYPERLINK("https://klasma.github.io/Logging_2361/tillsyn/A 36750-2023 tillsynsbegäran.docx", "A 36750-2023")</f>
        <v/>
      </c>
      <c r="Y121">
        <f>HYPERLINK("https://klasma.github.io/Logging_2361/tillsynsmail/A 36750-2023 tillsynsbegäran mail.docx", "A 36750-2023")</f>
        <v/>
      </c>
      <c r="Z121">
        <f>HYPERLINK("https://klasma.github.io/Logging_2361/fåglar/A 36750-2023 prioriterade fågelarter.docx", "A 36750-2023")</f>
        <v/>
      </c>
    </row>
    <row r="122" ht="15" customHeight="1">
      <c r="A122" t="inlineStr">
        <is>
          <t>A 40015-2023</t>
        </is>
      </c>
      <c r="B122" s="1" t="n">
        <v>45168</v>
      </c>
      <c r="C122" s="1" t="n">
        <v>45357</v>
      </c>
      <c r="D122" t="inlineStr">
        <is>
          <t>JÄMTLANDS LÄN</t>
        </is>
      </c>
      <c r="E122" t="inlineStr">
        <is>
          <t>HÄRJEDALEN</t>
        </is>
      </c>
      <c r="G122" t="n">
        <v>21.9</v>
      </c>
      <c r="H122" t="n">
        <v>0</v>
      </c>
      <c r="I122" t="n">
        <v>1</v>
      </c>
      <c r="J122" t="n">
        <v>1</v>
      </c>
      <c r="K122" t="n">
        <v>0</v>
      </c>
      <c r="L122" t="n">
        <v>0</v>
      </c>
      <c r="M122" t="n">
        <v>0</v>
      </c>
      <c r="N122" t="n">
        <v>0</v>
      </c>
      <c r="O122" t="n">
        <v>1</v>
      </c>
      <c r="P122" t="n">
        <v>0</v>
      </c>
      <c r="Q122" t="n">
        <v>2</v>
      </c>
      <c r="R122" s="2" t="inlineStr">
        <is>
          <t>Blå taggsvamp
Dropptaggsvamp</t>
        </is>
      </c>
      <c r="S122">
        <f>HYPERLINK("https://klasma.github.io/Logging_2361/artfynd/A 40015-2023 artfynd.xlsx", "A 40015-2023")</f>
        <v/>
      </c>
      <c r="T122">
        <f>HYPERLINK("https://klasma.github.io/Logging_2361/kartor/A 40015-2023 karta.png", "A 40015-2023")</f>
        <v/>
      </c>
      <c r="V122">
        <f>HYPERLINK("https://klasma.github.io/Logging_2361/klagomål/A 40015-2023 FSC-klagomål.docx", "A 40015-2023")</f>
        <v/>
      </c>
      <c r="W122">
        <f>HYPERLINK("https://klasma.github.io/Logging_2361/klagomålsmail/A 40015-2023 FSC-klagomål mail.docx", "A 40015-2023")</f>
        <v/>
      </c>
      <c r="X122">
        <f>HYPERLINK("https://klasma.github.io/Logging_2361/tillsyn/A 40015-2023 tillsynsbegäran.docx", "A 40015-2023")</f>
        <v/>
      </c>
      <c r="Y122">
        <f>HYPERLINK("https://klasma.github.io/Logging_2361/tillsynsmail/A 40015-2023 tillsynsbegäran mail.docx", "A 40015-2023")</f>
        <v/>
      </c>
    </row>
    <row r="123" ht="15" customHeight="1">
      <c r="A123" t="inlineStr">
        <is>
          <t>A 45191-2023</t>
        </is>
      </c>
      <c r="B123" s="1" t="n">
        <v>45191</v>
      </c>
      <c r="C123" s="1" t="n">
        <v>45357</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1417-2019</t>
        </is>
      </c>
      <c r="B124" s="1" t="n">
        <v>43461</v>
      </c>
      <c r="C124" s="1" t="n">
        <v>45357</v>
      </c>
      <c r="D124" t="inlineStr">
        <is>
          <t>JÄMTLANDS LÄN</t>
        </is>
      </c>
      <c r="E124" t="inlineStr">
        <is>
          <t>HÄRJEDALEN</t>
        </is>
      </c>
      <c r="G124" t="n">
        <v>46.2</v>
      </c>
      <c r="H124" t="n">
        <v>0</v>
      </c>
      <c r="I124" t="n">
        <v>0</v>
      </c>
      <c r="J124" t="n">
        <v>1</v>
      </c>
      <c r="K124" t="n">
        <v>0</v>
      </c>
      <c r="L124" t="n">
        <v>0</v>
      </c>
      <c r="M124" t="n">
        <v>0</v>
      </c>
      <c r="N124" t="n">
        <v>0</v>
      </c>
      <c r="O124" t="n">
        <v>1</v>
      </c>
      <c r="P124" t="n">
        <v>0</v>
      </c>
      <c r="Q124" t="n">
        <v>1</v>
      </c>
      <c r="R124" s="2" t="inlineStr">
        <is>
          <t>Garnlav</t>
        </is>
      </c>
      <c r="S124">
        <f>HYPERLINK("https://klasma.github.io/Logging_2361/artfynd/A 1417-2019 artfynd.xlsx", "A 1417-2019")</f>
        <v/>
      </c>
      <c r="T124">
        <f>HYPERLINK("https://klasma.github.io/Logging_2361/kartor/A 1417-2019 karta.png", "A 1417-2019")</f>
        <v/>
      </c>
      <c r="V124">
        <f>HYPERLINK("https://klasma.github.io/Logging_2361/klagomål/A 1417-2019 FSC-klagomål.docx", "A 1417-2019")</f>
        <v/>
      </c>
      <c r="W124">
        <f>HYPERLINK("https://klasma.github.io/Logging_2361/klagomålsmail/A 1417-2019 FSC-klagomål mail.docx", "A 1417-2019")</f>
        <v/>
      </c>
      <c r="X124">
        <f>HYPERLINK("https://klasma.github.io/Logging_2361/tillsyn/A 1417-2019 tillsynsbegäran.docx", "A 1417-2019")</f>
        <v/>
      </c>
      <c r="Y124">
        <f>HYPERLINK("https://klasma.github.io/Logging_2361/tillsynsmail/A 1417-2019 tillsynsbegäran mail.docx", "A 1417-2019")</f>
        <v/>
      </c>
    </row>
    <row r="125" ht="15" customHeight="1">
      <c r="A125" t="inlineStr">
        <is>
          <t>A 18156-2019</t>
        </is>
      </c>
      <c r="B125" s="1" t="n">
        <v>43558</v>
      </c>
      <c r="C125" s="1" t="n">
        <v>45357</v>
      </c>
      <c r="D125" t="inlineStr">
        <is>
          <t>JÄMTLANDS LÄN</t>
        </is>
      </c>
      <c r="E125" t="inlineStr">
        <is>
          <t>HÄRJEDALEN</t>
        </is>
      </c>
      <c r="F125" t="inlineStr">
        <is>
          <t>Bergvik skog väst AB</t>
        </is>
      </c>
      <c r="G125" t="n">
        <v>102.9</v>
      </c>
      <c r="H125" t="n">
        <v>0</v>
      </c>
      <c r="I125" t="n">
        <v>0</v>
      </c>
      <c r="J125" t="n">
        <v>1</v>
      </c>
      <c r="K125" t="n">
        <v>0</v>
      </c>
      <c r="L125" t="n">
        <v>0</v>
      </c>
      <c r="M125" t="n">
        <v>0</v>
      </c>
      <c r="N125" t="n">
        <v>0</v>
      </c>
      <c r="O125" t="n">
        <v>1</v>
      </c>
      <c r="P125" t="n">
        <v>0</v>
      </c>
      <c r="Q125" t="n">
        <v>1</v>
      </c>
      <c r="R125" s="2" t="inlineStr">
        <is>
          <t>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34268-2019</t>
        </is>
      </c>
      <c r="B126" s="1" t="n">
        <v>43655</v>
      </c>
      <c r="C126" s="1" t="n">
        <v>45357</v>
      </c>
      <c r="D126" t="inlineStr">
        <is>
          <t>JÄMTLANDS LÄN</t>
        </is>
      </c>
      <c r="E126" t="inlineStr">
        <is>
          <t>HÄRJEDALEN</t>
        </is>
      </c>
      <c r="F126" t="inlineStr">
        <is>
          <t>Bergvik skog väst AB</t>
        </is>
      </c>
      <c r="G126" t="n">
        <v>43.7</v>
      </c>
      <c r="H126" t="n">
        <v>0</v>
      </c>
      <c r="I126" t="n">
        <v>0</v>
      </c>
      <c r="J126" t="n">
        <v>1</v>
      </c>
      <c r="K126" t="n">
        <v>0</v>
      </c>
      <c r="L126" t="n">
        <v>0</v>
      </c>
      <c r="M126" t="n">
        <v>0</v>
      </c>
      <c r="N126" t="n">
        <v>0</v>
      </c>
      <c r="O126" t="n">
        <v>1</v>
      </c>
      <c r="P126" t="n">
        <v>0</v>
      </c>
      <c r="Q126" t="n">
        <v>1</v>
      </c>
      <c r="R126" s="2" t="inlineStr">
        <is>
          <t>Lunglav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24898-2020</t>
        </is>
      </c>
      <c r="B127" s="1" t="n">
        <v>43979</v>
      </c>
      <c r="C127" s="1" t="n">
        <v>45357</v>
      </c>
      <c r="D127" t="inlineStr">
        <is>
          <t>JÄMTLANDS LÄN</t>
        </is>
      </c>
      <c r="E127" t="inlineStr">
        <is>
          <t>HÄRJEDALEN</t>
        </is>
      </c>
      <c r="F127" t="inlineStr">
        <is>
          <t>Sveaskog</t>
        </is>
      </c>
      <c r="G127" t="n">
        <v>2.9</v>
      </c>
      <c r="H127" t="n">
        <v>0</v>
      </c>
      <c r="I127" t="n">
        <v>0</v>
      </c>
      <c r="J127" t="n">
        <v>1</v>
      </c>
      <c r="K127" t="n">
        <v>0</v>
      </c>
      <c r="L127" t="n">
        <v>0</v>
      </c>
      <c r="M127" t="n">
        <v>0</v>
      </c>
      <c r="N127" t="n">
        <v>0</v>
      </c>
      <c r="O127" t="n">
        <v>1</v>
      </c>
      <c r="P127" t="n">
        <v>0</v>
      </c>
      <c r="Q127" t="n">
        <v>1</v>
      </c>
      <c r="R127" s="2" t="inlineStr">
        <is>
          <t>Brunklöver</t>
        </is>
      </c>
      <c r="S127">
        <f>HYPERLINK("https://klasma.github.io/Logging_2361/artfynd/A 24898-2020 artfynd.xlsx", "A 24898-2020")</f>
        <v/>
      </c>
      <c r="T127">
        <f>HYPERLINK("https://klasma.github.io/Logging_2361/kartor/A 24898-2020 karta.png", "A 24898-2020")</f>
        <v/>
      </c>
      <c r="V127">
        <f>HYPERLINK("https://klasma.github.io/Logging_2361/klagomål/A 24898-2020 FSC-klagomål.docx", "A 24898-2020")</f>
        <v/>
      </c>
      <c r="W127">
        <f>HYPERLINK("https://klasma.github.io/Logging_2361/klagomålsmail/A 24898-2020 FSC-klagomål mail.docx", "A 24898-2020")</f>
        <v/>
      </c>
      <c r="X127">
        <f>HYPERLINK("https://klasma.github.io/Logging_2361/tillsyn/A 24898-2020 tillsynsbegäran.docx", "A 24898-2020")</f>
        <v/>
      </c>
      <c r="Y127">
        <f>HYPERLINK("https://klasma.github.io/Logging_2361/tillsynsmail/A 24898-2020 tillsynsbegäran mail.docx", "A 24898-2020")</f>
        <v/>
      </c>
    </row>
    <row r="128" ht="15" customHeight="1">
      <c r="A128" t="inlineStr">
        <is>
          <t>A 36954-2020</t>
        </is>
      </c>
      <c r="B128" s="1" t="n">
        <v>44053</v>
      </c>
      <c r="C128" s="1" t="n">
        <v>45357</v>
      </c>
      <c r="D128" t="inlineStr">
        <is>
          <t>JÄMTLANDS LÄN</t>
        </is>
      </c>
      <c r="E128" t="inlineStr">
        <is>
          <t>HÄRJEDALEN</t>
        </is>
      </c>
      <c r="F128" t="inlineStr">
        <is>
          <t>SCA</t>
        </is>
      </c>
      <c r="G128" t="n">
        <v>38.7</v>
      </c>
      <c r="H128" t="n">
        <v>0</v>
      </c>
      <c r="I128" t="n">
        <v>0</v>
      </c>
      <c r="J128" t="n">
        <v>1</v>
      </c>
      <c r="K128" t="n">
        <v>0</v>
      </c>
      <c r="L128" t="n">
        <v>0</v>
      </c>
      <c r="M128" t="n">
        <v>0</v>
      </c>
      <c r="N128" t="n">
        <v>0</v>
      </c>
      <c r="O128" t="n">
        <v>1</v>
      </c>
      <c r="P128" t="n">
        <v>0</v>
      </c>
      <c r="Q128" t="n">
        <v>1</v>
      </c>
      <c r="R128" s="2" t="inlineStr">
        <is>
          <t>Reliktbock</t>
        </is>
      </c>
      <c r="S128">
        <f>HYPERLINK("https://klasma.github.io/Logging_2361/artfynd/A 36954-2020 artfynd.xlsx", "A 36954-2020")</f>
        <v/>
      </c>
      <c r="T128">
        <f>HYPERLINK("https://klasma.github.io/Logging_2361/kartor/A 36954-2020 karta.png", "A 36954-2020")</f>
        <v/>
      </c>
      <c r="V128">
        <f>HYPERLINK("https://klasma.github.io/Logging_2361/klagomål/A 36954-2020 FSC-klagomål.docx", "A 36954-2020")</f>
        <v/>
      </c>
      <c r="W128">
        <f>HYPERLINK("https://klasma.github.io/Logging_2361/klagomålsmail/A 36954-2020 FSC-klagomål mail.docx", "A 36954-2020")</f>
        <v/>
      </c>
      <c r="X128">
        <f>HYPERLINK("https://klasma.github.io/Logging_2361/tillsyn/A 36954-2020 tillsynsbegäran.docx", "A 36954-2020")</f>
        <v/>
      </c>
      <c r="Y128">
        <f>HYPERLINK("https://klasma.github.io/Logging_2361/tillsynsmail/A 36954-2020 tillsynsbegäran mail.docx", "A 36954-2020")</f>
        <v/>
      </c>
    </row>
    <row r="129" ht="15" customHeight="1">
      <c r="A129" t="inlineStr">
        <is>
          <t>A 51387-2020</t>
        </is>
      </c>
      <c r="B129" s="1" t="n">
        <v>44113</v>
      </c>
      <c r="C129" s="1" t="n">
        <v>45357</v>
      </c>
      <c r="D129" t="inlineStr">
        <is>
          <t>JÄMTLANDS LÄN</t>
        </is>
      </c>
      <c r="E129" t="inlineStr">
        <is>
          <t>HÄRJEDALEN</t>
        </is>
      </c>
      <c r="G129" t="n">
        <v>1</v>
      </c>
      <c r="H129" t="n">
        <v>0</v>
      </c>
      <c r="I129" t="n">
        <v>0</v>
      </c>
      <c r="J129" t="n">
        <v>0</v>
      </c>
      <c r="K129" t="n">
        <v>1</v>
      </c>
      <c r="L129" t="n">
        <v>0</v>
      </c>
      <c r="M129" t="n">
        <v>0</v>
      </c>
      <c r="N129" t="n">
        <v>0</v>
      </c>
      <c r="O129" t="n">
        <v>1</v>
      </c>
      <c r="P129" t="n">
        <v>1</v>
      </c>
      <c r="Q129" t="n">
        <v>1</v>
      </c>
      <c r="R129" s="2" t="inlineStr">
        <is>
          <t>Goliatmusseron</t>
        </is>
      </c>
      <c r="S129">
        <f>HYPERLINK("https://klasma.github.io/Logging_2361/artfynd/A 51387-2020 artfynd.xlsx", "A 51387-2020")</f>
        <v/>
      </c>
      <c r="T129">
        <f>HYPERLINK("https://klasma.github.io/Logging_2361/kartor/A 51387-2020 karta.png", "A 51387-2020")</f>
        <v/>
      </c>
      <c r="V129">
        <f>HYPERLINK("https://klasma.github.io/Logging_2361/klagomål/A 51387-2020 FSC-klagomål.docx", "A 51387-2020")</f>
        <v/>
      </c>
      <c r="W129">
        <f>HYPERLINK("https://klasma.github.io/Logging_2361/klagomålsmail/A 51387-2020 FSC-klagomål mail.docx", "A 51387-2020")</f>
        <v/>
      </c>
      <c r="X129">
        <f>HYPERLINK("https://klasma.github.io/Logging_2361/tillsyn/A 51387-2020 tillsynsbegäran.docx", "A 51387-2020")</f>
        <v/>
      </c>
      <c r="Y129">
        <f>HYPERLINK("https://klasma.github.io/Logging_2361/tillsynsmail/A 51387-2020 tillsynsbegäran mail.docx", "A 51387-2020")</f>
        <v/>
      </c>
    </row>
    <row r="130" ht="15" customHeight="1">
      <c r="A130" t="inlineStr">
        <is>
          <t>A 21572-2021</t>
        </is>
      </c>
      <c r="B130" s="1" t="n">
        <v>44321</v>
      </c>
      <c r="C130" s="1" t="n">
        <v>45357</v>
      </c>
      <c r="D130" t="inlineStr">
        <is>
          <t>JÄMTLANDS LÄN</t>
        </is>
      </c>
      <c r="E130" t="inlineStr">
        <is>
          <t>HÄRJEDALEN</t>
        </is>
      </c>
      <c r="F130" t="inlineStr">
        <is>
          <t>Holmen skog AB</t>
        </is>
      </c>
      <c r="G130" t="n">
        <v>29</v>
      </c>
      <c r="H130" t="n">
        <v>0</v>
      </c>
      <c r="I130" t="n">
        <v>0</v>
      </c>
      <c r="J130" t="n">
        <v>1</v>
      </c>
      <c r="K130" t="n">
        <v>0</v>
      </c>
      <c r="L130" t="n">
        <v>0</v>
      </c>
      <c r="M130" t="n">
        <v>0</v>
      </c>
      <c r="N130" t="n">
        <v>0</v>
      </c>
      <c r="O130" t="n">
        <v>1</v>
      </c>
      <c r="P130" t="n">
        <v>0</v>
      </c>
      <c r="Q130" t="n">
        <v>1</v>
      </c>
      <c r="R130" s="2" t="inlineStr">
        <is>
          <t>Skrovlig taggsvamp</t>
        </is>
      </c>
      <c r="S130">
        <f>HYPERLINK("https://klasma.github.io/Logging_2361/artfynd/A 21572-2021 artfynd.xlsx", "A 21572-2021")</f>
        <v/>
      </c>
      <c r="T130">
        <f>HYPERLINK("https://klasma.github.io/Logging_2361/kartor/A 21572-2021 karta.png", "A 21572-2021")</f>
        <v/>
      </c>
      <c r="V130">
        <f>HYPERLINK("https://klasma.github.io/Logging_2361/klagomål/A 21572-2021 FSC-klagomål.docx", "A 21572-2021")</f>
        <v/>
      </c>
      <c r="W130">
        <f>HYPERLINK("https://klasma.github.io/Logging_2361/klagomålsmail/A 21572-2021 FSC-klagomål mail.docx", "A 21572-2021")</f>
        <v/>
      </c>
      <c r="X130">
        <f>HYPERLINK("https://klasma.github.io/Logging_2361/tillsyn/A 21572-2021 tillsynsbegäran.docx", "A 21572-2021")</f>
        <v/>
      </c>
      <c r="Y130">
        <f>HYPERLINK("https://klasma.github.io/Logging_2361/tillsynsmail/A 21572-2021 tillsynsbegäran mail.docx", "A 21572-2021")</f>
        <v/>
      </c>
    </row>
    <row r="131" ht="15" customHeight="1">
      <c r="A131" t="inlineStr">
        <is>
          <t>A 38359-2021</t>
        </is>
      </c>
      <c r="B131" s="1" t="n">
        <v>44406</v>
      </c>
      <c r="C131" s="1" t="n">
        <v>45357</v>
      </c>
      <c r="D131" t="inlineStr">
        <is>
          <t>JÄMTLANDS LÄN</t>
        </is>
      </c>
      <c r="E131" t="inlineStr">
        <is>
          <t>HÄRJEDALEN</t>
        </is>
      </c>
      <c r="G131" t="n">
        <v>17.3</v>
      </c>
      <c r="H131" t="n">
        <v>1</v>
      </c>
      <c r="I131" t="n">
        <v>0</v>
      </c>
      <c r="J131" t="n">
        <v>0</v>
      </c>
      <c r="K131" t="n">
        <v>1</v>
      </c>
      <c r="L131" t="n">
        <v>0</v>
      </c>
      <c r="M131" t="n">
        <v>0</v>
      </c>
      <c r="N131" t="n">
        <v>0</v>
      </c>
      <c r="O131" t="n">
        <v>1</v>
      </c>
      <c r="P131" t="n">
        <v>1</v>
      </c>
      <c r="Q131" t="n">
        <v>1</v>
      </c>
      <c r="R131" s="2" t="inlineStr">
        <is>
          <t>Knärot</t>
        </is>
      </c>
      <c r="S131">
        <f>HYPERLINK("https://klasma.github.io/Logging_2361/artfynd/A 38359-2021 artfynd.xlsx", "A 38359-2021")</f>
        <v/>
      </c>
      <c r="T131">
        <f>HYPERLINK("https://klasma.github.io/Logging_2361/kartor/A 38359-2021 karta.png", "A 38359-2021")</f>
        <v/>
      </c>
      <c r="U131">
        <f>HYPERLINK("https://klasma.github.io/Logging_2361/knärot/A 38359-2021 karta knärot.png", "A 38359-2021")</f>
        <v/>
      </c>
      <c r="V131">
        <f>HYPERLINK("https://klasma.github.io/Logging_2361/klagomål/A 38359-2021 FSC-klagomål.docx", "A 38359-2021")</f>
        <v/>
      </c>
      <c r="W131">
        <f>HYPERLINK("https://klasma.github.io/Logging_2361/klagomålsmail/A 38359-2021 FSC-klagomål mail.docx", "A 38359-2021")</f>
        <v/>
      </c>
      <c r="X131">
        <f>HYPERLINK("https://klasma.github.io/Logging_2361/tillsyn/A 38359-2021 tillsynsbegäran.docx", "A 38359-2021")</f>
        <v/>
      </c>
      <c r="Y131">
        <f>HYPERLINK("https://klasma.github.io/Logging_2361/tillsynsmail/A 38359-2021 tillsynsbegäran mail.docx", "A 38359-2021")</f>
        <v/>
      </c>
    </row>
    <row r="132" ht="15" customHeight="1">
      <c r="A132" t="inlineStr">
        <is>
          <t>A 55223-2021</t>
        </is>
      </c>
      <c r="B132" s="1" t="n">
        <v>44475</v>
      </c>
      <c r="C132" s="1" t="n">
        <v>45357</v>
      </c>
      <c r="D132" t="inlineStr">
        <is>
          <t>JÄMTLANDS LÄN</t>
        </is>
      </c>
      <c r="E132" t="inlineStr">
        <is>
          <t>HÄRJEDALEN</t>
        </is>
      </c>
      <c r="G132" t="n">
        <v>18.2</v>
      </c>
      <c r="H132" t="n">
        <v>1</v>
      </c>
      <c r="I132" t="n">
        <v>0</v>
      </c>
      <c r="J132" t="n">
        <v>1</v>
      </c>
      <c r="K132" t="n">
        <v>0</v>
      </c>
      <c r="L132" t="n">
        <v>0</v>
      </c>
      <c r="M132" t="n">
        <v>0</v>
      </c>
      <c r="N132" t="n">
        <v>0</v>
      </c>
      <c r="O132" t="n">
        <v>1</v>
      </c>
      <c r="P132" t="n">
        <v>0</v>
      </c>
      <c r="Q132" t="n">
        <v>1</v>
      </c>
      <c r="R132" s="2" t="inlineStr">
        <is>
          <t>Varglav</t>
        </is>
      </c>
      <c r="S132">
        <f>HYPERLINK("https://klasma.github.io/Logging_2361/artfynd/A 55223-2021 artfynd.xlsx", "A 55223-2021")</f>
        <v/>
      </c>
      <c r="T132">
        <f>HYPERLINK("https://klasma.github.io/Logging_2361/kartor/A 55223-2021 karta.png", "A 55223-2021")</f>
        <v/>
      </c>
      <c r="V132">
        <f>HYPERLINK("https://klasma.github.io/Logging_2361/klagomål/A 55223-2021 FSC-klagomål.docx", "A 55223-2021")</f>
        <v/>
      </c>
      <c r="W132">
        <f>HYPERLINK("https://klasma.github.io/Logging_2361/klagomålsmail/A 55223-2021 FSC-klagomål mail.docx", "A 55223-2021")</f>
        <v/>
      </c>
      <c r="X132">
        <f>HYPERLINK("https://klasma.github.io/Logging_2361/tillsyn/A 55223-2021 tillsynsbegäran.docx", "A 55223-2021")</f>
        <v/>
      </c>
      <c r="Y132">
        <f>HYPERLINK("https://klasma.github.io/Logging_2361/tillsynsmail/A 55223-2021 tillsynsbegäran mail.docx", "A 55223-2021")</f>
        <v/>
      </c>
    </row>
    <row r="133" ht="15" customHeight="1">
      <c r="A133" t="inlineStr">
        <is>
          <t>A 55222-2021</t>
        </is>
      </c>
      <c r="B133" s="1" t="n">
        <v>44475</v>
      </c>
      <c r="C133" s="1" t="n">
        <v>45357</v>
      </c>
      <c r="D133" t="inlineStr">
        <is>
          <t>JÄMTLANDS LÄN</t>
        </is>
      </c>
      <c r="E133" t="inlineStr">
        <is>
          <t>HÄRJEDALEN</t>
        </is>
      </c>
      <c r="G133" t="n">
        <v>1.1</v>
      </c>
      <c r="H133" t="n">
        <v>1</v>
      </c>
      <c r="I133" t="n">
        <v>0</v>
      </c>
      <c r="J133" t="n">
        <v>1</v>
      </c>
      <c r="K133" t="n">
        <v>0</v>
      </c>
      <c r="L133" t="n">
        <v>0</v>
      </c>
      <c r="M133" t="n">
        <v>0</v>
      </c>
      <c r="N133" t="n">
        <v>0</v>
      </c>
      <c r="O133" t="n">
        <v>1</v>
      </c>
      <c r="P133" t="n">
        <v>0</v>
      </c>
      <c r="Q133" t="n">
        <v>1</v>
      </c>
      <c r="R133" s="2" t="inlineStr">
        <is>
          <t>Varglav</t>
        </is>
      </c>
      <c r="S133">
        <f>HYPERLINK("https://klasma.github.io/Logging_2361/artfynd/A 55222-2021 artfynd.xlsx", "A 55222-2021")</f>
        <v/>
      </c>
      <c r="T133">
        <f>HYPERLINK("https://klasma.github.io/Logging_2361/kartor/A 55222-2021 karta.png", "A 55222-2021")</f>
        <v/>
      </c>
      <c r="V133">
        <f>HYPERLINK("https://klasma.github.io/Logging_2361/klagomål/A 55222-2021 FSC-klagomål.docx", "A 55222-2021")</f>
        <v/>
      </c>
      <c r="W133">
        <f>HYPERLINK("https://klasma.github.io/Logging_2361/klagomålsmail/A 55222-2021 FSC-klagomål mail.docx", "A 55222-2021")</f>
        <v/>
      </c>
      <c r="X133">
        <f>HYPERLINK("https://klasma.github.io/Logging_2361/tillsyn/A 55222-2021 tillsynsbegäran.docx", "A 55222-2021")</f>
        <v/>
      </c>
      <c r="Y133">
        <f>HYPERLINK("https://klasma.github.io/Logging_2361/tillsynsmail/A 55222-2021 tillsynsbegäran mail.docx", "A 55222-2021")</f>
        <v/>
      </c>
    </row>
    <row r="134" ht="15" customHeight="1">
      <c r="A134" t="inlineStr">
        <is>
          <t>A 55221-2021</t>
        </is>
      </c>
      <c r="B134" s="1" t="n">
        <v>44475</v>
      </c>
      <c r="C134" s="1" t="n">
        <v>45357</v>
      </c>
      <c r="D134" t="inlineStr">
        <is>
          <t>JÄMTLANDS LÄN</t>
        </is>
      </c>
      <c r="E134" t="inlineStr">
        <is>
          <t>HÄRJEDALEN</t>
        </is>
      </c>
      <c r="G134" t="n">
        <v>0.2</v>
      </c>
      <c r="H134" t="n">
        <v>1</v>
      </c>
      <c r="I134" t="n">
        <v>0</v>
      </c>
      <c r="J134" t="n">
        <v>1</v>
      </c>
      <c r="K134" t="n">
        <v>0</v>
      </c>
      <c r="L134" t="n">
        <v>0</v>
      </c>
      <c r="M134" t="n">
        <v>0</v>
      </c>
      <c r="N134" t="n">
        <v>0</v>
      </c>
      <c r="O134" t="n">
        <v>1</v>
      </c>
      <c r="P134" t="n">
        <v>0</v>
      </c>
      <c r="Q134" t="n">
        <v>1</v>
      </c>
      <c r="R134" s="2" t="inlineStr">
        <is>
          <t>Varglav</t>
        </is>
      </c>
      <c r="S134">
        <f>HYPERLINK("https://klasma.github.io/Logging_2361/artfynd/A 55221-2021 artfynd.xlsx", "A 55221-2021")</f>
        <v/>
      </c>
      <c r="T134">
        <f>HYPERLINK("https://klasma.github.io/Logging_2361/kartor/A 55221-2021 karta.png", "A 55221-2021")</f>
        <v/>
      </c>
      <c r="V134">
        <f>HYPERLINK("https://klasma.github.io/Logging_2361/klagomål/A 55221-2021 FSC-klagomål.docx", "A 55221-2021")</f>
        <v/>
      </c>
      <c r="W134">
        <f>HYPERLINK("https://klasma.github.io/Logging_2361/klagomålsmail/A 55221-2021 FSC-klagomål mail.docx", "A 55221-2021")</f>
        <v/>
      </c>
      <c r="X134">
        <f>HYPERLINK("https://klasma.github.io/Logging_2361/tillsyn/A 55221-2021 tillsynsbegäran.docx", "A 55221-2021")</f>
        <v/>
      </c>
      <c r="Y134">
        <f>HYPERLINK("https://klasma.github.io/Logging_2361/tillsynsmail/A 55221-2021 tillsynsbegäran mail.docx", "A 55221-2021")</f>
        <v/>
      </c>
    </row>
    <row r="135" ht="15" customHeight="1">
      <c r="A135" t="inlineStr">
        <is>
          <t>A 55245-2021</t>
        </is>
      </c>
      <c r="B135" s="1" t="n">
        <v>44475</v>
      </c>
      <c r="C135" s="1" t="n">
        <v>45357</v>
      </c>
      <c r="D135" t="inlineStr">
        <is>
          <t>JÄMTLANDS LÄN</t>
        </is>
      </c>
      <c r="E135" t="inlineStr">
        <is>
          <t>HÄRJEDALEN</t>
        </is>
      </c>
      <c r="G135" t="n">
        <v>5.1</v>
      </c>
      <c r="H135" t="n">
        <v>0</v>
      </c>
      <c r="I135" t="n">
        <v>0</v>
      </c>
      <c r="J135" t="n">
        <v>1</v>
      </c>
      <c r="K135" t="n">
        <v>0</v>
      </c>
      <c r="L135" t="n">
        <v>0</v>
      </c>
      <c r="M135" t="n">
        <v>0</v>
      </c>
      <c r="N135" t="n">
        <v>0</v>
      </c>
      <c r="O135" t="n">
        <v>1</v>
      </c>
      <c r="P135" t="n">
        <v>0</v>
      </c>
      <c r="Q135" t="n">
        <v>1</v>
      </c>
      <c r="R135" s="2" t="inlineStr">
        <is>
          <t>Blanksvart spiklav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13982-2022</t>
        </is>
      </c>
      <c r="B136" s="1" t="n">
        <v>44650</v>
      </c>
      <c r="C136" s="1" t="n">
        <v>45357</v>
      </c>
      <c r="D136" t="inlineStr">
        <is>
          <t>JÄMTLANDS LÄN</t>
        </is>
      </c>
      <c r="E136" t="inlineStr">
        <is>
          <t>HÄRJEDALEN</t>
        </is>
      </c>
      <c r="F136" t="inlineStr">
        <is>
          <t>Holmen skog AB</t>
        </is>
      </c>
      <c r="G136" t="n">
        <v>4.4</v>
      </c>
      <c r="H136" t="n">
        <v>0</v>
      </c>
      <c r="I136" t="n">
        <v>0</v>
      </c>
      <c r="J136" t="n">
        <v>1</v>
      </c>
      <c r="K136" t="n">
        <v>0</v>
      </c>
      <c r="L136" t="n">
        <v>0</v>
      </c>
      <c r="M136" t="n">
        <v>0</v>
      </c>
      <c r="N136" t="n">
        <v>0</v>
      </c>
      <c r="O136" t="n">
        <v>1</v>
      </c>
      <c r="P136" t="n">
        <v>0</v>
      </c>
      <c r="Q136" t="n">
        <v>1</v>
      </c>
      <c r="R136" s="2" t="inlineStr">
        <is>
          <t>Garnlav</t>
        </is>
      </c>
      <c r="S136">
        <f>HYPERLINK("https://klasma.github.io/Logging_2361/artfynd/A 13982-2022 artfynd.xlsx", "A 13982-2022")</f>
        <v/>
      </c>
      <c r="T136">
        <f>HYPERLINK("https://klasma.github.io/Logging_2361/kartor/A 13982-2022 karta.png", "A 13982-2022")</f>
        <v/>
      </c>
      <c r="V136">
        <f>HYPERLINK("https://klasma.github.io/Logging_2361/klagomål/A 13982-2022 FSC-klagomål.docx", "A 13982-2022")</f>
        <v/>
      </c>
      <c r="W136">
        <f>HYPERLINK("https://klasma.github.io/Logging_2361/klagomålsmail/A 13982-2022 FSC-klagomål mail.docx", "A 13982-2022")</f>
        <v/>
      </c>
      <c r="X136">
        <f>HYPERLINK("https://klasma.github.io/Logging_2361/tillsyn/A 13982-2022 tillsynsbegäran.docx", "A 13982-2022")</f>
        <v/>
      </c>
      <c r="Y136">
        <f>HYPERLINK("https://klasma.github.io/Logging_2361/tillsynsmail/A 13982-2022 tillsynsbegäran mail.docx", "A 13982-2022")</f>
        <v/>
      </c>
    </row>
    <row r="137" ht="15" customHeight="1">
      <c r="A137" t="inlineStr">
        <is>
          <t>A 15360-2022</t>
        </is>
      </c>
      <c r="B137" s="1" t="n">
        <v>44659</v>
      </c>
      <c r="C137" s="1" t="n">
        <v>45357</v>
      </c>
      <c r="D137" t="inlineStr">
        <is>
          <t>JÄMTLANDS LÄN</t>
        </is>
      </c>
      <c r="E137" t="inlineStr">
        <is>
          <t>HÄRJEDALEN</t>
        </is>
      </c>
      <c r="G137" t="n">
        <v>7.7</v>
      </c>
      <c r="H137" t="n">
        <v>1</v>
      </c>
      <c r="I137" t="n">
        <v>0</v>
      </c>
      <c r="J137" t="n">
        <v>0</v>
      </c>
      <c r="K137" t="n">
        <v>0</v>
      </c>
      <c r="L137" t="n">
        <v>1</v>
      </c>
      <c r="M137" t="n">
        <v>0</v>
      </c>
      <c r="N137" t="n">
        <v>0</v>
      </c>
      <c r="O137" t="n">
        <v>1</v>
      </c>
      <c r="P137" t="n">
        <v>1</v>
      </c>
      <c r="Q137" t="n">
        <v>1</v>
      </c>
      <c r="R137" s="2" t="inlineStr">
        <is>
          <t>Mosippa</t>
        </is>
      </c>
      <c r="S137">
        <f>HYPERLINK("https://klasma.github.io/Logging_2361/artfynd/A 15360-2022 artfynd.xlsx", "A 15360-2022")</f>
        <v/>
      </c>
      <c r="T137">
        <f>HYPERLINK("https://klasma.github.io/Logging_2361/kartor/A 15360-2022 karta.png", "A 15360-2022")</f>
        <v/>
      </c>
      <c r="V137">
        <f>HYPERLINK("https://klasma.github.io/Logging_2361/klagomål/A 15360-2022 FSC-klagomål.docx", "A 15360-2022")</f>
        <v/>
      </c>
      <c r="W137">
        <f>HYPERLINK("https://klasma.github.io/Logging_2361/klagomålsmail/A 15360-2022 FSC-klagomål mail.docx", "A 15360-2022")</f>
        <v/>
      </c>
      <c r="X137">
        <f>HYPERLINK("https://klasma.github.io/Logging_2361/tillsyn/A 15360-2022 tillsynsbegäran.docx", "A 15360-2022")</f>
        <v/>
      </c>
      <c r="Y137">
        <f>HYPERLINK("https://klasma.github.io/Logging_2361/tillsynsmail/A 15360-2022 tillsynsbegäran mail.docx", "A 15360-2022")</f>
        <v/>
      </c>
    </row>
    <row r="138" ht="15" customHeight="1">
      <c r="A138" t="inlineStr">
        <is>
          <t>A 42214-2022</t>
        </is>
      </c>
      <c r="B138" s="1" t="n">
        <v>44830</v>
      </c>
      <c r="C138" s="1" t="n">
        <v>45357</v>
      </c>
      <c r="D138" t="inlineStr">
        <is>
          <t>JÄMTLANDS LÄN</t>
        </is>
      </c>
      <c r="E138" t="inlineStr">
        <is>
          <t>HÄRJEDALEN</t>
        </is>
      </c>
      <c r="F138" t="inlineStr">
        <is>
          <t>Sveaskog</t>
        </is>
      </c>
      <c r="G138" t="n">
        <v>8.800000000000001</v>
      </c>
      <c r="H138" t="n">
        <v>0</v>
      </c>
      <c r="I138" t="n">
        <v>0</v>
      </c>
      <c r="J138" t="n">
        <v>0</v>
      </c>
      <c r="K138" t="n">
        <v>1</v>
      </c>
      <c r="L138" t="n">
        <v>0</v>
      </c>
      <c r="M138" t="n">
        <v>0</v>
      </c>
      <c r="N138" t="n">
        <v>0</v>
      </c>
      <c r="O138" t="n">
        <v>1</v>
      </c>
      <c r="P138" t="n">
        <v>1</v>
      </c>
      <c r="Q138" t="n">
        <v>1</v>
      </c>
      <c r="R138" s="2" t="inlineStr">
        <is>
          <t>Rynkskinn</t>
        </is>
      </c>
      <c r="S138">
        <f>HYPERLINK("https://klasma.github.io/Logging_2361/artfynd/A 42214-2022 artfynd.xlsx", "A 42214-2022")</f>
        <v/>
      </c>
      <c r="T138">
        <f>HYPERLINK("https://klasma.github.io/Logging_2361/kartor/A 42214-2022 karta.png", "A 42214-2022")</f>
        <v/>
      </c>
      <c r="V138">
        <f>HYPERLINK("https://klasma.github.io/Logging_2361/klagomål/A 42214-2022 FSC-klagomål.docx", "A 42214-2022")</f>
        <v/>
      </c>
      <c r="W138">
        <f>HYPERLINK("https://klasma.github.io/Logging_2361/klagomålsmail/A 42214-2022 FSC-klagomål mail.docx", "A 42214-2022")</f>
        <v/>
      </c>
      <c r="X138">
        <f>HYPERLINK("https://klasma.github.io/Logging_2361/tillsyn/A 42214-2022 tillsynsbegäran.docx", "A 42214-2022")</f>
        <v/>
      </c>
      <c r="Y138">
        <f>HYPERLINK("https://klasma.github.io/Logging_2361/tillsynsmail/A 42214-2022 tillsynsbegäran mail.docx", "A 42214-2022")</f>
        <v/>
      </c>
    </row>
    <row r="139" ht="15" customHeight="1">
      <c r="A139" t="inlineStr">
        <is>
          <t>A 52328-2022</t>
        </is>
      </c>
      <c r="B139" s="1" t="n">
        <v>44873</v>
      </c>
      <c r="C139" s="1" t="n">
        <v>45357</v>
      </c>
      <c r="D139" t="inlineStr">
        <is>
          <t>JÄMTLANDS LÄN</t>
        </is>
      </c>
      <c r="E139" t="inlineStr">
        <is>
          <t>HÄRJEDALEN</t>
        </is>
      </c>
      <c r="G139" t="n">
        <v>30.5</v>
      </c>
      <c r="H139" t="n">
        <v>0</v>
      </c>
      <c r="I139" t="n">
        <v>0</v>
      </c>
      <c r="J139" t="n">
        <v>1</v>
      </c>
      <c r="K139" t="n">
        <v>0</v>
      </c>
      <c r="L139" t="n">
        <v>0</v>
      </c>
      <c r="M139" t="n">
        <v>0</v>
      </c>
      <c r="N139" t="n">
        <v>0</v>
      </c>
      <c r="O139" t="n">
        <v>1</v>
      </c>
      <c r="P139" t="n">
        <v>0</v>
      </c>
      <c r="Q139" t="n">
        <v>1</v>
      </c>
      <c r="R139" s="2" t="inlineStr">
        <is>
          <t>Stjärntagging</t>
        </is>
      </c>
      <c r="S139">
        <f>HYPERLINK("https://klasma.github.io/Logging_2361/artfynd/A 52328-2022 artfynd.xlsx", "A 52328-2022")</f>
        <v/>
      </c>
      <c r="T139">
        <f>HYPERLINK("https://klasma.github.io/Logging_2361/kartor/A 52328-2022 karta.png", "A 52328-2022")</f>
        <v/>
      </c>
      <c r="V139">
        <f>HYPERLINK("https://klasma.github.io/Logging_2361/klagomål/A 52328-2022 FSC-klagomål.docx", "A 52328-2022")</f>
        <v/>
      </c>
      <c r="W139">
        <f>HYPERLINK("https://klasma.github.io/Logging_2361/klagomålsmail/A 52328-2022 FSC-klagomål mail.docx", "A 52328-2022")</f>
        <v/>
      </c>
      <c r="X139">
        <f>HYPERLINK("https://klasma.github.io/Logging_2361/tillsyn/A 52328-2022 tillsynsbegäran.docx", "A 52328-2022")</f>
        <v/>
      </c>
      <c r="Y139">
        <f>HYPERLINK("https://klasma.github.io/Logging_2361/tillsynsmail/A 52328-2022 tillsynsbegäran mail.docx", "A 52328-2022")</f>
        <v/>
      </c>
    </row>
    <row r="140" ht="15" customHeight="1">
      <c r="A140" t="inlineStr">
        <is>
          <t>A 56084-2022</t>
        </is>
      </c>
      <c r="B140" s="1" t="n">
        <v>44886</v>
      </c>
      <c r="C140" s="1" t="n">
        <v>45357</v>
      </c>
      <c r="D140" t="inlineStr">
        <is>
          <t>JÄMTLANDS LÄN</t>
        </is>
      </c>
      <c r="E140" t="inlineStr">
        <is>
          <t>HÄRJEDALEN</t>
        </is>
      </c>
      <c r="F140" t="inlineStr">
        <is>
          <t>Övriga statliga verk och myndigheter</t>
        </is>
      </c>
      <c r="G140" t="n">
        <v>18.6</v>
      </c>
      <c r="H140" t="n">
        <v>0</v>
      </c>
      <c r="I140" t="n">
        <v>0</v>
      </c>
      <c r="J140" t="n">
        <v>1</v>
      </c>
      <c r="K140" t="n">
        <v>0</v>
      </c>
      <c r="L140" t="n">
        <v>0</v>
      </c>
      <c r="M140" t="n">
        <v>0</v>
      </c>
      <c r="N140" t="n">
        <v>0</v>
      </c>
      <c r="O140" t="n">
        <v>1</v>
      </c>
      <c r="P140" t="n">
        <v>0</v>
      </c>
      <c r="Q140" t="n">
        <v>1</v>
      </c>
      <c r="R140" s="2" t="inlineStr">
        <is>
          <t>Dvärgbägarlav</t>
        </is>
      </c>
      <c r="S140">
        <f>HYPERLINK("https://klasma.github.io/Logging_2361/artfynd/A 56084-2022 artfynd.xlsx", "A 56084-2022")</f>
        <v/>
      </c>
      <c r="T140">
        <f>HYPERLINK("https://klasma.github.io/Logging_2361/kartor/A 56084-2022 karta.png", "A 56084-2022")</f>
        <v/>
      </c>
      <c r="V140">
        <f>HYPERLINK("https://klasma.github.io/Logging_2361/klagomål/A 56084-2022 FSC-klagomål.docx", "A 56084-2022")</f>
        <v/>
      </c>
      <c r="W140">
        <f>HYPERLINK("https://klasma.github.io/Logging_2361/klagomålsmail/A 56084-2022 FSC-klagomål mail.docx", "A 56084-2022")</f>
        <v/>
      </c>
      <c r="X140">
        <f>HYPERLINK("https://klasma.github.io/Logging_2361/tillsyn/A 56084-2022 tillsynsbegäran.docx", "A 56084-2022")</f>
        <v/>
      </c>
      <c r="Y140">
        <f>HYPERLINK("https://klasma.github.io/Logging_2361/tillsynsmail/A 56084-2022 tillsynsbegäran mail.docx", "A 56084-2022")</f>
        <v/>
      </c>
    </row>
    <row r="141" ht="15" customHeight="1">
      <c r="A141" t="inlineStr">
        <is>
          <t>A 184-2023</t>
        </is>
      </c>
      <c r="B141" s="1" t="n">
        <v>44928</v>
      </c>
      <c r="C141" s="1" t="n">
        <v>45357</v>
      </c>
      <c r="D141" t="inlineStr">
        <is>
          <t>JÄMTLANDS LÄN</t>
        </is>
      </c>
      <c r="E141" t="inlineStr">
        <is>
          <t>HÄRJEDALEN</t>
        </is>
      </c>
      <c r="F141" t="inlineStr">
        <is>
          <t>Holmen skog AB</t>
        </is>
      </c>
      <c r="G141" t="n">
        <v>7.8</v>
      </c>
      <c r="H141" t="n">
        <v>1</v>
      </c>
      <c r="I141" t="n">
        <v>1</v>
      </c>
      <c r="J141" t="n">
        <v>0</v>
      </c>
      <c r="K141" t="n">
        <v>0</v>
      </c>
      <c r="L141" t="n">
        <v>0</v>
      </c>
      <c r="M141" t="n">
        <v>0</v>
      </c>
      <c r="N141" t="n">
        <v>0</v>
      </c>
      <c r="O141" t="n">
        <v>0</v>
      </c>
      <c r="P141" t="n">
        <v>0</v>
      </c>
      <c r="Q141" t="n">
        <v>1</v>
      </c>
      <c r="R141" s="2" t="inlineStr">
        <is>
          <t>Spindelblomster</t>
        </is>
      </c>
      <c r="S141">
        <f>HYPERLINK("https://klasma.github.io/Logging_2361/artfynd/A 184-2023 artfynd.xlsx", "A 184-2023")</f>
        <v/>
      </c>
      <c r="T141">
        <f>HYPERLINK("https://klasma.github.io/Logging_2361/kartor/A 184-2023 karta.png", "A 184-2023")</f>
        <v/>
      </c>
      <c r="V141">
        <f>HYPERLINK("https://klasma.github.io/Logging_2361/klagomål/A 184-2023 FSC-klagomål.docx", "A 184-2023")</f>
        <v/>
      </c>
      <c r="W141">
        <f>HYPERLINK("https://klasma.github.io/Logging_2361/klagomålsmail/A 184-2023 FSC-klagomål mail.docx", "A 184-2023")</f>
        <v/>
      </c>
      <c r="X141">
        <f>HYPERLINK("https://klasma.github.io/Logging_2361/tillsyn/A 184-2023 tillsynsbegäran.docx", "A 184-2023")</f>
        <v/>
      </c>
      <c r="Y141">
        <f>HYPERLINK("https://klasma.github.io/Logging_2361/tillsynsmail/A 184-2023 tillsynsbegäran mail.docx", "A 184-2023")</f>
        <v/>
      </c>
    </row>
    <row r="142" ht="15" customHeight="1">
      <c r="A142" t="inlineStr">
        <is>
          <t>A 30330-2023</t>
        </is>
      </c>
      <c r="B142" s="1" t="n">
        <v>45111</v>
      </c>
      <c r="C142" s="1" t="n">
        <v>45357</v>
      </c>
      <c r="D142" t="inlineStr">
        <is>
          <t>JÄMTLANDS LÄN</t>
        </is>
      </c>
      <c r="E142" t="inlineStr">
        <is>
          <t>HÄRJEDALEN</t>
        </is>
      </c>
      <c r="F142" t="inlineStr">
        <is>
          <t>Bergvik skog väst AB</t>
        </is>
      </c>
      <c r="G142" t="n">
        <v>7.7</v>
      </c>
      <c r="H142" t="n">
        <v>1</v>
      </c>
      <c r="I142" t="n">
        <v>0</v>
      </c>
      <c r="J142" t="n">
        <v>0</v>
      </c>
      <c r="K142" t="n">
        <v>0</v>
      </c>
      <c r="L142" t="n">
        <v>1</v>
      </c>
      <c r="M142" t="n">
        <v>0</v>
      </c>
      <c r="N142" t="n">
        <v>0</v>
      </c>
      <c r="O142" t="n">
        <v>1</v>
      </c>
      <c r="P142" t="n">
        <v>1</v>
      </c>
      <c r="Q142" t="n">
        <v>1</v>
      </c>
      <c r="R142" s="2" t="inlineStr">
        <is>
          <t>Mosippa</t>
        </is>
      </c>
      <c r="S142">
        <f>HYPERLINK("https://klasma.github.io/Logging_2361/artfynd/A 30330-2023 artfynd.xlsx", "A 30330-2023")</f>
        <v/>
      </c>
      <c r="T142">
        <f>HYPERLINK("https://klasma.github.io/Logging_2361/kartor/A 30330-2023 karta.png", "A 30330-2023")</f>
        <v/>
      </c>
      <c r="V142">
        <f>HYPERLINK("https://klasma.github.io/Logging_2361/klagomål/A 30330-2023 FSC-klagomål.docx", "A 30330-2023")</f>
        <v/>
      </c>
      <c r="W142">
        <f>HYPERLINK("https://klasma.github.io/Logging_2361/klagomålsmail/A 30330-2023 FSC-klagomål mail.docx", "A 30330-2023")</f>
        <v/>
      </c>
      <c r="X142">
        <f>HYPERLINK("https://klasma.github.io/Logging_2361/tillsyn/A 30330-2023 tillsynsbegäran.docx", "A 30330-2023")</f>
        <v/>
      </c>
      <c r="Y142">
        <f>HYPERLINK("https://klasma.github.io/Logging_2361/tillsynsmail/A 30330-2023 tillsynsbegäran mail.docx", "A 30330-2023")</f>
        <v/>
      </c>
    </row>
    <row r="143" ht="15" customHeight="1">
      <c r="A143" t="inlineStr">
        <is>
          <t>A 39524-2023</t>
        </is>
      </c>
      <c r="B143" s="1" t="n">
        <v>45167</v>
      </c>
      <c r="C143" s="1" t="n">
        <v>45357</v>
      </c>
      <c r="D143" t="inlineStr">
        <is>
          <t>JÄMTLANDS LÄN</t>
        </is>
      </c>
      <c r="E143" t="inlineStr">
        <is>
          <t>HÄRJEDALEN</t>
        </is>
      </c>
      <c r="F143" t="inlineStr">
        <is>
          <t>Bergvik skog väst AB</t>
        </is>
      </c>
      <c r="G143" t="n">
        <v>4.1</v>
      </c>
      <c r="H143" t="n">
        <v>1</v>
      </c>
      <c r="I143" t="n">
        <v>0</v>
      </c>
      <c r="J143" t="n">
        <v>1</v>
      </c>
      <c r="K143" t="n">
        <v>0</v>
      </c>
      <c r="L143" t="n">
        <v>0</v>
      </c>
      <c r="M143" t="n">
        <v>0</v>
      </c>
      <c r="N143" t="n">
        <v>0</v>
      </c>
      <c r="O143" t="n">
        <v>1</v>
      </c>
      <c r="P143" t="n">
        <v>0</v>
      </c>
      <c r="Q143" t="n">
        <v>1</v>
      </c>
      <c r="R143" s="2" t="inlineStr">
        <is>
          <t>Tretåig hackspett</t>
        </is>
      </c>
      <c r="S143">
        <f>HYPERLINK("https://klasma.github.io/Logging_2361/artfynd/A 39524-2023 artfynd.xlsx", "A 39524-2023")</f>
        <v/>
      </c>
      <c r="T143">
        <f>HYPERLINK("https://klasma.github.io/Logging_2361/kartor/A 39524-2023 karta.png", "A 39524-2023")</f>
        <v/>
      </c>
      <c r="V143">
        <f>HYPERLINK("https://klasma.github.io/Logging_2361/klagomål/A 39524-2023 FSC-klagomål.docx", "A 39524-2023")</f>
        <v/>
      </c>
      <c r="W143">
        <f>HYPERLINK("https://klasma.github.io/Logging_2361/klagomålsmail/A 39524-2023 FSC-klagomål mail.docx", "A 39524-2023")</f>
        <v/>
      </c>
      <c r="X143">
        <f>HYPERLINK("https://klasma.github.io/Logging_2361/tillsyn/A 39524-2023 tillsynsbegäran.docx", "A 39524-2023")</f>
        <v/>
      </c>
      <c r="Y143">
        <f>HYPERLINK("https://klasma.github.io/Logging_2361/tillsynsmail/A 39524-2023 tillsynsbegäran mail.docx", "A 39524-2023")</f>
        <v/>
      </c>
      <c r="Z143">
        <f>HYPERLINK("https://klasma.github.io/Logging_2361/fåglar/A 39524-2023 prioriterade fågelarter.docx", "A 39524-2023")</f>
        <v/>
      </c>
    </row>
    <row r="144" ht="15" customHeight="1">
      <c r="A144" t="inlineStr">
        <is>
          <t>A 50470-2023</t>
        </is>
      </c>
      <c r="B144" s="1" t="n">
        <v>45216</v>
      </c>
      <c r="C144" s="1" t="n">
        <v>45357</v>
      </c>
      <c r="D144" t="inlineStr">
        <is>
          <t>JÄMTLANDS LÄN</t>
        </is>
      </c>
      <c r="E144" t="inlineStr">
        <is>
          <t>HÄRJEDALEN</t>
        </is>
      </c>
      <c r="F144" t="inlineStr">
        <is>
          <t>Sveaskog</t>
        </is>
      </c>
      <c r="G144" t="n">
        <v>3.5</v>
      </c>
      <c r="H144" t="n">
        <v>0</v>
      </c>
      <c r="I144" t="n">
        <v>0</v>
      </c>
      <c r="J144" t="n">
        <v>0</v>
      </c>
      <c r="K144" t="n">
        <v>1</v>
      </c>
      <c r="L144" t="n">
        <v>0</v>
      </c>
      <c r="M144" t="n">
        <v>0</v>
      </c>
      <c r="N144" t="n">
        <v>0</v>
      </c>
      <c r="O144" t="n">
        <v>1</v>
      </c>
      <c r="P144" t="n">
        <v>1</v>
      </c>
      <c r="Q144" t="n">
        <v>1</v>
      </c>
      <c r="R144" s="2" t="inlineStr">
        <is>
          <t>Gräddporing</t>
        </is>
      </c>
      <c r="S144">
        <f>HYPERLINK("https://klasma.github.io/Logging_2361/artfynd/A 50470-2023 artfynd.xlsx", "A 50470-2023")</f>
        <v/>
      </c>
      <c r="T144">
        <f>HYPERLINK("https://klasma.github.io/Logging_2361/kartor/A 50470-2023 karta.png", "A 50470-2023")</f>
        <v/>
      </c>
      <c r="V144">
        <f>HYPERLINK("https://klasma.github.io/Logging_2361/klagomål/A 50470-2023 FSC-klagomål.docx", "A 50470-2023")</f>
        <v/>
      </c>
      <c r="W144">
        <f>HYPERLINK("https://klasma.github.io/Logging_2361/klagomålsmail/A 50470-2023 FSC-klagomål mail.docx", "A 50470-2023")</f>
        <v/>
      </c>
      <c r="X144">
        <f>HYPERLINK("https://klasma.github.io/Logging_2361/tillsyn/A 50470-2023 tillsynsbegäran.docx", "A 50470-2023")</f>
        <v/>
      </c>
      <c r="Y144">
        <f>HYPERLINK("https://klasma.github.io/Logging_2361/tillsynsmail/A 50470-2023 tillsynsbegäran mail.docx", "A 50470-2023")</f>
        <v/>
      </c>
    </row>
    <row r="145" ht="15" customHeight="1">
      <c r="A145" t="inlineStr">
        <is>
          <t>A 51414-2023</t>
        </is>
      </c>
      <c r="B145" s="1" t="n">
        <v>45219</v>
      </c>
      <c r="C145" s="1" t="n">
        <v>45357</v>
      </c>
      <c r="D145" t="inlineStr">
        <is>
          <t>JÄMTLANDS LÄN</t>
        </is>
      </c>
      <c r="E145" t="inlineStr">
        <is>
          <t>HÄRJEDALEN</t>
        </is>
      </c>
      <c r="F145" t="inlineStr">
        <is>
          <t>Sveaskog</t>
        </is>
      </c>
      <c r="G145" t="n">
        <v>3.9</v>
      </c>
      <c r="H145" t="n">
        <v>0</v>
      </c>
      <c r="I145" t="n">
        <v>0</v>
      </c>
      <c r="J145" t="n">
        <v>1</v>
      </c>
      <c r="K145" t="n">
        <v>0</v>
      </c>
      <c r="L145" t="n">
        <v>0</v>
      </c>
      <c r="M145" t="n">
        <v>0</v>
      </c>
      <c r="N145" t="n">
        <v>0</v>
      </c>
      <c r="O145" t="n">
        <v>1</v>
      </c>
      <c r="P145" t="n">
        <v>0</v>
      </c>
      <c r="Q145" t="n">
        <v>1</v>
      </c>
      <c r="R145" s="2" t="inlineStr">
        <is>
          <t>Lunglav</t>
        </is>
      </c>
      <c r="S145">
        <f>HYPERLINK("https://klasma.github.io/Logging_2361/artfynd/A 51414-2023 artfynd.xlsx", "A 51414-2023")</f>
        <v/>
      </c>
      <c r="T145">
        <f>HYPERLINK("https://klasma.github.io/Logging_2361/kartor/A 51414-2023 karta.png", "A 51414-2023")</f>
        <v/>
      </c>
      <c r="V145">
        <f>HYPERLINK("https://klasma.github.io/Logging_2361/klagomål/A 51414-2023 FSC-klagomål.docx", "A 51414-2023")</f>
        <v/>
      </c>
      <c r="W145">
        <f>HYPERLINK("https://klasma.github.io/Logging_2361/klagomålsmail/A 51414-2023 FSC-klagomål mail.docx", "A 51414-2023")</f>
        <v/>
      </c>
      <c r="X145">
        <f>HYPERLINK("https://klasma.github.io/Logging_2361/tillsyn/A 51414-2023 tillsynsbegäran.docx", "A 51414-2023")</f>
        <v/>
      </c>
      <c r="Y145">
        <f>HYPERLINK("https://klasma.github.io/Logging_2361/tillsynsmail/A 51414-2023 tillsynsbegäran mail.docx", "A 51414-2023")</f>
        <v/>
      </c>
    </row>
    <row r="146" ht="15" customHeight="1">
      <c r="A146" t="inlineStr">
        <is>
          <t>A 62539-2023</t>
        </is>
      </c>
      <c r="B146" s="1" t="n">
        <v>45268</v>
      </c>
      <c r="C146" s="1" t="n">
        <v>45357</v>
      </c>
      <c r="D146" t="inlineStr">
        <is>
          <t>JÄMTLANDS LÄN</t>
        </is>
      </c>
      <c r="E146" t="inlineStr">
        <is>
          <t>HÄRJEDALEN</t>
        </is>
      </c>
      <c r="G146" t="n">
        <v>7.6</v>
      </c>
      <c r="H146" t="n">
        <v>1</v>
      </c>
      <c r="I146" t="n">
        <v>0</v>
      </c>
      <c r="J146" t="n">
        <v>1</v>
      </c>
      <c r="K146" t="n">
        <v>0</v>
      </c>
      <c r="L146" t="n">
        <v>0</v>
      </c>
      <c r="M146" t="n">
        <v>0</v>
      </c>
      <c r="N146" t="n">
        <v>0</v>
      </c>
      <c r="O146" t="n">
        <v>1</v>
      </c>
      <c r="P146" t="n">
        <v>0</v>
      </c>
      <c r="Q146" t="n">
        <v>1</v>
      </c>
      <c r="R146" s="2" t="inlineStr">
        <is>
          <t>Talltita</t>
        </is>
      </c>
      <c r="S146">
        <f>HYPERLINK("https://klasma.github.io/Logging_2361/artfynd/A 62539-2023 artfynd.xlsx", "A 62539-2023")</f>
        <v/>
      </c>
      <c r="T146">
        <f>HYPERLINK("https://klasma.github.io/Logging_2361/kartor/A 62539-2023 karta.png", "A 62539-2023")</f>
        <v/>
      </c>
      <c r="V146">
        <f>HYPERLINK("https://klasma.github.io/Logging_2361/klagomål/A 62539-2023 FSC-klagomål.docx", "A 62539-2023")</f>
        <v/>
      </c>
      <c r="W146">
        <f>HYPERLINK("https://klasma.github.io/Logging_2361/klagomålsmail/A 62539-2023 FSC-klagomål mail.docx", "A 62539-2023")</f>
        <v/>
      </c>
      <c r="X146">
        <f>HYPERLINK("https://klasma.github.io/Logging_2361/tillsyn/A 62539-2023 tillsynsbegäran.docx", "A 62539-2023")</f>
        <v/>
      </c>
      <c r="Y146">
        <f>HYPERLINK("https://klasma.github.io/Logging_2361/tillsynsmail/A 62539-2023 tillsynsbegäran mail.docx", "A 62539-2023")</f>
        <v/>
      </c>
      <c r="Z146">
        <f>HYPERLINK("https://klasma.github.io/Logging_2361/fåglar/A 62539-2023 prioriterade fågelarter.docx", "A 62539-2023")</f>
        <v/>
      </c>
    </row>
    <row r="147" ht="15" customHeight="1">
      <c r="A147" t="inlineStr">
        <is>
          <t>A 63659-2023</t>
        </is>
      </c>
      <c r="B147" s="1" t="n">
        <v>45275</v>
      </c>
      <c r="C147" s="1" t="n">
        <v>45357</v>
      </c>
      <c r="D147" t="inlineStr">
        <is>
          <t>JÄMTLANDS LÄN</t>
        </is>
      </c>
      <c r="E147" t="inlineStr">
        <is>
          <t>HÄRJEDALEN</t>
        </is>
      </c>
      <c r="G147" t="n">
        <v>11.7</v>
      </c>
      <c r="H147" t="n">
        <v>0</v>
      </c>
      <c r="I147" t="n">
        <v>0</v>
      </c>
      <c r="J147" t="n">
        <v>1</v>
      </c>
      <c r="K147" t="n">
        <v>0</v>
      </c>
      <c r="L147" t="n">
        <v>0</v>
      </c>
      <c r="M147" t="n">
        <v>0</v>
      </c>
      <c r="N147" t="n">
        <v>0</v>
      </c>
      <c r="O147" t="n">
        <v>1</v>
      </c>
      <c r="P147" t="n">
        <v>0</v>
      </c>
      <c r="Q147" t="n">
        <v>1</v>
      </c>
      <c r="R147" s="2" t="inlineStr">
        <is>
          <t>Lunglav</t>
        </is>
      </c>
      <c r="S147">
        <f>HYPERLINK("https://klasma.github.io/Logging_2361/artfynd/A 63659-2023 artfynd.xlsx", "A 63659-2023")</f>
        <v/>
      </c>
      <c r="T147">
        <f>HYPERLINK("https://klasma.github.io/Logging_2361/kartor/A 63659-2023 karta.png", "A 63659-2023")</f>
        <v/>
      </c>
      <c r="V147">
        <f>HYPERLINK("https://klasma.github.io/Logging_2361/klagomål/A 63659-2023 FSC-klagomål.docx", "A 63659-2023")</f>
        <v/>
      </c>
      <c r="W147">
        <f>HYPERLINK("https://klasma.github.io/Logging_2361/klagomålsmail/A 63659-2023 FSC-klagomål mail.docx", "A 63659-2023")</f>
        <v/>
      </c>
      <c r="X147">
        <f>HYPERLINK("https://klasma.github.io/Logging_2361/tillsyn/A 63659-2023 tillsynsbegäran.docx", "A 63659-2023")</f>
        <v/>
      </c>
      <c r="Y147">
        <f>HYPERLINK("https://klasma.github.io/Logging_2361/tillsynsmail/A 63659-2023 tillsynsbegäran mail.docx", "A 63659-2023")</f>
        <v/>
      </c>
    </row>
    <row r="148" ht="15" customHeight="1">
      <c r="A148" t="inlineStr">
        <is>
          <t>A 3593-2024</t>
        </is>
      </c>
      <c r="B148" s="1" t="n">
        <v>45320</v>
      </c>
      <c r="C148" s="1" t="n">
        <v>45357</v>
      </c>
      <c r="D148" t="inlineStr">
        <is>
          <t>JÄMTLANDS LÄN</t>
        </is>
      </c>
      <c r="E148" t="inlineStr">
        <is>
          <t>HÄRJEDALEN</t>
        </is>
      </c>
      <c r="G148" t="n">
        <v>15.1</v>
      </c>
      <c r="H148" t="n">
        <v>0</v>
      </c>
      <c r="I148" t="n">
        <v>0</v>
      </c>
      <c r="J148" t="n">
        <v>1</v>
      </c>
      <c r="K148" t="n">
        <v>0</v>
      </c>
      <c r="L148" t="n">
        <v>0</v>
      </c>
      <c r="M148" t="n">
        <v>0</v>
      </c>
      <c r="N148" t="n">
        <v>0</v>
      </c>
      <c r="O148" t="n">
        <v>1</v>
      </c>
      <c r="P148" t="n">
        <v>0</v>
      </c>
      <c r="Q148" t="n">
        <v>1</v>
      </c>
      <c r="R148" s="2" t="inlineStr">
        <is>
          <t>Nordtagging</t>
        </is>
      </c>
      <c r="S148">
        <f>HYPERLINK("https://klasma.github.io/Logging_2361/artfynd/A 3593-2024 artfynd.xlsx", "A 3593-2024")</f>
        <v/>
      </c>
      <c r="T148">
        <f>HYPERLINK("https://klasma.github.io/Logging_2361/kartor/A 3593-2024 karta.png", "A 3593-2024")</f>
        <v/>
      </c>
      <c r="V148">
        <f>HYPERLINK("https://klasma.github.io/Logging_2361/klagomål/A 3593-2024 FSC-klagomål.docx", "A 3593-2024")</f>
        <v/>
      </c>
      <c r="W148">
        <f>HYPERLINK("https://klasma.github.io/Logging_2361/klagomålsmail/A 3593-2024 FSC-klagomål mail.docx", "A 3593-2024")</f>
        <v/>
      </c>
      <c r="X148">
        <f>HYPERLINK("https://klasma.github.io/Logging_2361/tillsyn/A 3593-2024 tillsynsbegäran.docx", "A 3593-2024")</f>
        <v/>
      </c>
      <c r="Y148">
        <f>HYPERLINK("https://klasma.github.io/Logging_2361/tillsynsmail/A 3593-2024 tillsynsbegäran mail.docx", "A 3593-2024")</f>
        <v/>
      </c>
    </row>
    <row r="149" ht="15" customHeight="1">
      <c r="A149" t="inlineStr">
        <is>
          <t>A 7327-2024</t>
        </is>
      </c>
      <c r="B149" s="1" t="n">
        <v>45345</v>
      </c>
      <c r="C149" s="1" t="n">
        <v>45357</v>
      </c>
      <c r="D149" t="inlineStr">
        <is>
          <t>JÄMTLANDS LÄN</t>
        </is>
      </c>
      <c r="E149" t="inlineStr">
        <is>
          <t>HÄRJEDALEN</t>
        </is>
      </c>
      <c r="F149" t="inlineStr">
        <is>
          <t>Sveaskog</t>
        </is>
      </c>
      <c r="G149" t="n">
        <v>0.3</v>
      </c>
      <c r="H149" t="n">
        <v>0</v>
      </c>
      <c r="I149" t="n">
        <v>0</v>
      </c>
      <c r="J149" t="n">
        <v>1</v>
      </c>
      <c r="K149" t="n">
        <v>0</v>
      </c>
      <c r="L149" t="n">
        <v>0</v>
      </c>
      <c r="M149" t="n">
        <v>0</v>
      </c>
      <c r="N149" t="n">
        <v>0</v>
      </c>
      <c r="O149" t="n">
        <v>1</v>
      </c>
      <c r="P149" t="n">
        <v>0</v>
      </c>
      <c r="Q149" t="n">
        <v>1</v>
      </c>
      <c r="R149" s="2" t="inlineStr">
        <is>
          <t>Kolflarnlav</t>
        </is>
      </c>
      <c r="S149">
        <f>HYPERLINK("https://klasma.github.io/Logging_2361/artfynd/A 7327-2024 artfynd.xlsx", "A 7327-2024")</f>
        <v/>
      </c>
      <c r="T149">
        <f>HYPERLINK("https://klasma.github.io/Logging_2361/kartor/A 7327-2024 karta.png", "A 7327-2024")</f>
        <v/>
      </c>
      <c r="V149">
        <f>HYPERLINK("https://klasma.github.io/Logging_2361/klagomål/A 7327-2024 FSC-klagomål.docx", "A 7327-2024")</f>
        <v/>
      </c>
      <c r="W149">
        <f>HYPERLINK("https://klasma.github.io/Logging_2361/klagomålsmail/A 7327-2024 FSC-klagomål mail.docx", "A 7327-2024")</f>
        <v/>
      </c>
      <c r="X149">
        <f>HYPERLINK("https://klasma.github.io/Logging_2361/tillsyn/A 7327-2024 tillsynsbegäran.docx", "A 7327-2024")</f>
        <v/>
      </c>
      <c r="Y149">
        <f>HYPERLINK("https://klasma.github.io/Logging_2361/tillsynsmail/A 7327-2024 tillsynsbegäran mail.docx", "A 7327-2024")</f>
        <v/>
      </c>
    </row>
    <row r="150" ht="15" customHeight="1">
      <c r="A150" t="inlineStr">
        <is>
          <t>A 38754-2018</t>
        </is>
      </c>
      <c r="B150" s="1" t="n">
        <v>43340</v>
      </c>
      <c r="C150" s="1" t="n">
        <v>45357</v>
      </c>
      <c r="D150" t="inlineStr">
        <is>
          <t>JÄMTLANDS LÄN</t>
        </is>
      </c>
      <c r="E150" t="inlineStr">
        <is>
          <t>HÄRJEDALEN</t>
        </is>
      </c>
      <c r="G150" t="n">
        <v>4.2</v>
      </c>
      <c r="H150" t="n">
        <v>0</v>
      </c>
      <c r="I150" t="n">
        <v>0</v>
      </c>
      <c r="J150" t="n">
        <v>0</v>
      </c>
      <c r="K150" t="n">
        <v>0</v>
      </c>
      <c r="L150" t="n">
        <v>0</v>
      </c>
      <c r="M150" t="n">
        <v>0</v>
      </c>
      <c r="N150" t="n">
        <v>0</v>
      </c>
      <c r="O150" t="n">
        <v>0</v>
      </c>
      <c r="P150" t="n">
        <v>0</v>
      </c>
      <c r="Q150" t="n">
        <v>0</v>
      </c>
      <c r="R150" s="2" t="inlineStr"/>
    </row>
    <row r="151" ht="15" customHeight="1">
      <c r="A151" t="inlineStr">
        <is>
          <t>A 38753-2018</t>
        </is>
      </c>
      <c r="B151" s="1" t="n">
        <v>43340</v>
      </c>
      <c r="C151" s="1" t="n">
        <v>45357</v>
      </c>
      <c r="D151" t="inlineStr">
        <is>
          <t>JÄMTLANDS LÄN</t>
        </is>
      </c>
      <c r="E151" t="inlineStr">
        <is>
          <t>HÄRJEDALEN</t>
        </is>
      </c>
      <c r="G151" t="n">
        <v>3.6</v>
      </c>
      <c r="H151" t="n">
        <v>0</v>
      </c>
      <c r="I151" t="n">
        <v>0</v>
      </c>
      <c r="J151" t="n">
        <v>0</v>
      </c>
      <c r="K151" t="n">
        <v>0</v>
      </c>
      <c r="L151" t="n">
        <v>0</v>
      </c>
      <c r="M151" t="n">
        <v>0</v>
      </c>
      <c r="N151" t="n">
        <v>0</v>
      </c>
      <c r="O151" t="n">
        <v>0</v>
      </c>
      <c r="P151" t="n">
        <v>0</v>
      </c>
      <c r="Q151" t="n">
        <v>0</v>
      </c>
      <c r="R151" s="2" t="inlineStr"/>
    </row>
    <row r="152" ht="15" customHeight="1">
      <c r="A152" t="inlineStr">
        <is>
          <t>A 41979-2018</t>
        </is>
      </c>
      <c r="B152" s="1" t="n">
        <v>43350</v>
      </c>
      <c r="C152" s="1" t="n">
        <v>45357</v>
      </c>
      <c r="D152" t="inlineStr">
        <is>
          <t>JÄMTLANDS LÄN</t>
        </is>
      </c>
      <c r="E152" t="inlineStr">
        <is>
          <t>HÄRJEDALEN</t>
        </is>
      </c>
      <c r="G152" t="n">
        <v>50</v>
      </c>
      <c r="H152" t="n">
        <v>0</v>
      </c>
      <c r="I152" t="n">
        <v>0</v>
      </c>
      <c r="J152" t="n">
        <v>0</v>
      </c>
      <c r="K152" t="n">
        <v>0</v>
      </c>
      <c r="L152" t="n">
        <v>0</v>
      </c>
      <c r="M152" t="n">
        <v>0</v>
      </c>
      <c r="N152" t="n">
        <v>0</v>
      </c>
      <c r="O152" t="n">
        <v>0</v>
      </c>
      <c r="P152" t="n">
        <v>0</v>
      </c>
      <c r="Q152" t="n">
        <v>0</v>
      </c>
      <c r="R152" s="2" t="inlineStr"/>
    </row>
    <row r="153" ht="15" customHeight="1">
      <c r="A153" t="inlineStr">
        <is>
          <t>A 44222-2018</t>
        </is>
      </c>
      <c r="B153" s="1" t="n">
        <v>43360</v>
      </c>
      <c r="C153" s="1" t="n">
        <v>45357</v>
      </c>
      <c r="D153" t="inlineStr">
        <is>
          <t>JÄMTLANDS LÄN</t>
        </is>
      </c>
      <c r="E153" t="inlineStr">
        <is>
          <t>HÄRJEDALEN</t>
        </is>
      </c>
      <c r="G153" t="n">
        <v>0.7</v>
      </c>
      <c r="H153" t="n">
        <v>0</v>
      </c>
      <c r="I153" t="n">
        <v>0</v>
      </c>
      <c r="J153" t="n">
        <v>0</v>
      </c>
      <c r="K153" t="n">
        <v>0</v>
      </c>
      <c r="L153" t="n">
        <v>0</v>
      </c>
      <c r="M153" t="n">
        <v>0</v>
      </c>
      <c r="N153" t="n">
        <v>0</v>
      </c>
      <c r="O153" t="n">
        <v>0</v>
      </c>
      <c r="P153" t="n">
        <v>0</v>
      </c>
      <c r="Q153" t="n">
        <v>0</v>
      </c>
      <c r="R153" s="2" t="inlineStr"/>
    </row>
    <row r="154" ht="15" customHeight="1">
      <c r="A154" t="inlineStr">
        <is>
          <t>A 46202-2018</t>
        </is>
      </c>
      <c r="B154" s="1" t="n">
        <v>43364</v>
      </c>
      <c r="C154" s="1" t="n">
        <v>45357</v>
      </c>
      <c r="D154" t="inlineStr">
        <is>
          <t>JÄMTLANDS LÄN</t>
        </is>
      </c>
      <c r="E154" t="inlineStr">
        <is>
          <t>HÄRJEDALEN</t>
        </is>
      </c>
      <c r="G154" t="n">
        <v>2.4</v>
      </c>
      <c r="H154" t="n">
        <v>0</v>
      </c>
      <c r="I154" t="n">
        <v>0</v>
      </c>
      <c r="J154" t="n">
        <v>0</v>
      </c>
      <c r="K154" t="n">
        <v>0</v>
      </c>
      <c r="L154" t="n">
        <v>0</v>
      </c>
      <c r="M154" t="n">
        <v>0</v>
      </c>
      <c r="N154" t="n">
        <v>0</v>
      </c>
      <c r="O154" t="n">
        <v>0</v>
      </c>
      <c r="P154" t="n">
        <v>0</v>
      </c>
      <c r="Q154" t="n">
        <v>0</v>
      </c>
      <c r="R154" s="2" t="inlineStr"/>
    </row>
    <row r="155" ht="15" customHeight="1">
      <c r="A155" t="inlineStr">
        <is>
          <t>A 47412-2018</t>
        </is>
      </c>
      <c r="B155" s="1" t="n">
        <v>43369</v>
      </c>
      <c r="C155" s="1" t="n">
        <v>45357</v>
      </c>
      <c r="D155" t="inlineStr">
        <is>
          <t>JÄMTLANDS LÄN</t>
        </is>
      </c>
      <c r="E155" t="inlineStr">
        <is>
          <t>HÄRJEDALEN</t>
        </is>
      </c>
      <c r="G155" t="n">
        <v>20.4</v>
      </c>
      <c r="H155" t="n">
        <v>0</v>
      </c>
      <c r="I155" t="n">
        <v>0</v>
      </c>
      <c r="J155" t="n">
        <v>0</v>
      </c>
      <c r="K155" t="n">
        <v>0</v>
      </c>
      <c r="L155" t="n">
        <v>0</v>
      </c>
      <c r="M155" t="n">
        <v>0</v>
      </c>
      <c r="N155" t="n">
        <v>0</v>
      </c>
      <c r="O155" t="n">
        <v>0</v>
      </c>
      <c r="P155" t="n">
        <v>0</v>
      </c>
      <c r="Q155" t="n">
        <v>0</v>
      </c>
      <c r="R155" s="2" t="inlineStr"/>
    </row>
    <row r="156" ht="15" customHeight="1">
      <c r="A156" t="inlineStr">
        <is>
          <t>A 48245-2018</t>
        </is>
      </c>
      <c r="B156" s="1" t="n">
        <v>43371</v>
      </c>
      <c r="C156" s="1" t="n">
        <v>45357</v>
      </c>
      <c r="D156" t="inlineStr">
        <is>
          <t>JÄMTLANDS LÄN</t>
        </is>
      </c>
      <c r="E156" t="inlineStr">
        <is>
          <t>HÄRJEDALEN</t>
        </is>
      </c>
      <c r="G156" t="n">
        <v>0.4</v>
      </c>
      <c r="H156" t="n">
        <v>0</v>
      </c>
      <c r="I156" t="n">
        <v>0</v>
      </c>
      <c r="J156" t="n">
        <v>0</v>
      </c>
      <c r="K156" t="n">
        <v>0</v>
      </c>
      <c r="L156" t="n">
        <v>0</v>
      </c>
      <c r="M156" t="n">
        <v>0</v>
      </c>
      <c r="N156" t="n">
        <v>0</v>
      </c>
      <c r="O156" t="n">
        <v>0</v>
      </c>
      <c r="P156" t="n">
        <v>0</v>
      </c>
      <c r="Q156" t="n">
        <v>0</v>
      </c>
      <c r="R156" s="2" t="inlineStr"/>
    </row>
    <row r="157" ht="15" customHeight="1">
      <c r="A157" t="inlineStr">
        <is>
          <t>A 49130-2018</t>
        </is>
      </c>
      <c r="B157" s="1" t="n">
        <v>43375</v>
      </c>
      <c r="C157" s="1" t="n">
        <v>45357</v>
      </c>
      <c r="D157" t="inlineStr">
        <is>
          <t>JÄMTLANDS LÄN</t>
        </is>
      </c>
      <c r="E157" t="inlineStr">
        <is>
          <t>HÄRJEDALEN</t>
        </is>
      </c>
      <c r="G157" t="n">
        <v>6.6</v>
      </c>
      <c r="H157" t="n">
        <v>0</v>
      </c>
      <c r="I157" t="n">
        <v>0</v>
      </c>
      <c r="J157" t="n">
        <v>0</v>
      </c>
      <c r="K157" t="n">
        <v>0</v>
      </c>
      <c r="L157" t="n">
        <v>0</v>
      </c>
      <c r="M157" t="n">
        <v>0</v>
      </c>
      <c r="N157" t="n">
        <v>0</v>
      </c>
      <c r="O157" t="n">
        <v>0</v>
      </c>
      <c r="P157" t="n">
        <v>0</v>
      </c>
      <c r="Q157" t="n">
        <v>0</v>
      </c>
      <c r="R157" s="2" t="inlineStr"/>
    </row>
    <row r="158" ht="15" customHeight="1">
      <c r="A158" t="inlineStr">
        <is>
          <t>A 51450-2018</t>
        </is>
      </c>
      <c r="B158" s="1" t="n">
        <v>43383</v>
      </c>
      <c r="C158" s="1" t="n">
        <v>45357</v>
      </c>
      <c r="D158" t="inlineStr">
        <is>
          <t>JÄMTLANDS LÄN</t>
        </is>
      </c>
      <c r="E158" t="inlineStr">
        <is>
          <t>HÄRJEDALEN</t>
        </is>
      </c>
      <c r="G158" t="n">
        <v>16.3</v>
      </c>
      <c r="H158" t="n">
        <v>0</v>
      </c>
      <c r="I158" t="n">
        <v>0</v>
      </c>
      <c r="J158" t="n">
        <v>0</v>
      </c>
      <c r="K158" t="n">
        <v>0</v>
      </c>
      <c r="L158" t="n">
        <v>0</v>
      </c>
      <c r="M158" t="n">
        <v>0</v>
      </c>
      <c r="N158" t="n">
        <v>0</v>
      </c>
      <c r="O158" t="n">
        <v>0</v>
      </c>
      <c r="P158" t="n">
        <v>0</v>
      </c>
      <c r="Q158" t="n">
        <v>0</v>
      </c>
      <c r="R158" s="2" t="inlineStr"/>
    </row>
    <row r="159" ht="15" customHeight="1">
      <c r="A159" t="inlineStr">
        <is>
          <t>A 54581-2018</t>
        </is>
      </c>
      <c r="B159" s="1" t="n">
        <v>43389</v>
      </c>
      <c r="C159" s="1" t="n">
        <v>45357</v>
      </c>
      <c r="D159" t="inlineStr">
        <is>
          <t>JÄMTLANDS LÄN</t>
        </is>
      </c>
      <c r="E159" t="inlineStr">
        <is>
          <t>HÄRJEDALEN</t>
        </is>
      </c>
      <c r="F159" t="inlineStr">
        <is>
          <t>Övriga statliga verk och myndigheter</t>
        </is>
      </c>
      <c r="G159" t="n">
        <v>58.9</v>
      </c>
      <c r="H159" t="n">
        <v>0</v>
      </c>
      <c r="I159" t="n">
        <v>0</v>
      </c>
      <c r="J159" t="n">
        <v>0</v>
      </c>
      <c r="K159" t="n">
        <v>0</v>
      </c>
      <c r="L159" t="n">
        <v>0</v>
      </c>
      <c r="M159" t="n">
        <v>0</v>
      </c>
      <c r="N159" t="n">
        <v>0</v>
      </c>
      <c r="O159" t="n">
        <v>0</v>
      </c>
      <c r="P159" t="n">
        <v>0</v>
      </c>
      <c r="Q159" t="n">
        <v>0</v>
      </c>
      <c r="R159" s="2" t="inlineStr"/>
    </row>
    <row r="160" ht="15" customHeight="1">
      <c r="A160" t="inlineStr">
        <is>
          <t>A 54538-2018</t>
        </is>
      </c>
      <c r="B160" s="1" t="n">
        <v>43390</v>
      </c>
      <c r="C160" s="1" t="n">
        <v>45357</v>
      </c>
      <c r="D160" t="inlineStr">
        <is>
          <t>JÄMTLANDS LÄN</t>
        </is>
      </c>
      <c r="E160" t="inlineStr">
        <is>
          <t>HÄRJEDALEN</t>
        </is>
      </c>
      <c r="G160" t="n">
        <v>1</v>
      </c>
      <c r="H160" t="n">
        <v>0</v>
      </c>
      <c r="I160" t="n">
        <v>0</v>
      </c>
      <c r="J160" t="n">
        <v>0</v>
      </c>
      <c r="K160" t="n">
        <v>0</v>
      </c>
      <c r="L160" t="n">
        <v>0</v>
      </c>
      <c r="M160" t="n">
        <v>0</v>
      </c>
      <c r="N160" t="n">
        <v>0</v>
      </c>
      <c r="O160" t="n">
        <v>0</v>
      </c>
      <c r="P160" t="n">
        <v>0</v>
      </c>
      <c r="Q160" t="n">
        <v>0</v>
      </c>
      <c r="R160" s="2" t="inlineStr"/>
    </row>
    <row r="161" ht="15" customHeight="1">
      <c r="A161" t="inlineStr">
        <is>
          <t>A 54602-2018</t>
        </is>
      </c>
      <c r="B161" s="1" t="n">
        <v>43390</v>
      </c>
      <c r="C161" s="1" t="n">
        <v>45357</v>
      </c>
      <c r="D161" t="inlineStr">
        <is>
          <t>JÄMTLANDS LÄN</t>
        </is>
      </c>
      <c r="E161" t="inlineStr">
        <is>
          <t>HÄRJEDALEN</t>
        </is>
      </c>
      <c r="G161" t="n">
        <v>2.3</v>
      </c>
      <c r="H161" t="n">
        <v>0</v>
      </c>
      <c r="I161" t="n">
        <v>0</v>
      </c>
      <c r="J161" t="n">
        <v>0</v>
      </c>
      <c r="K161" t="n">
        <v>0</v>
      </c>
      <c r="L161" t="n">
        <v>0</v>
      </c>
      <c r="M161" t="n">
        <v>0</v>
      </c>
      <c r="N161" t="n">
        <v>0</v>
      </c>
      <c r="O161" t="n">
        <v>0</v>
      </c>
      <c r="P161" t="n">
        <v>0</v>
      </c>
      <c r="Q161" t="n">
        <v>0</v>
      </c>
      <c r="R161" s="2" t="inlineStr"/>
    </row>
    <row r="162" ht="15" customHeight="1">
      <c r="A162" t="inlineStr">
        <is>
          <t>A 54050-2018</t>
        </is>
      </c>
      <c r="B162" s="1" t="n">
        <v>43392</v>
      </c>
      <c r="C162" s="1" t="n">
        <v>45357</v>
      </c>
      <c r="D162" t="inlineStr">
        <is>
          <t>JÄMTLANDS LÄN</t>
        </is>
      </c>
      <c r="E162" t="inlineStr">
        <is>
          <t>HÄRJEDALEN</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55215-2018</t>
        </is>
      </c>
      <c r="B163" s="1" t="n">
        <v>43396</v>
      </c>
      <c r="C163" s="1" t="n">
        <v>45357</v>
      </c>
      <c r="D163" t="inlineStr">
        <is>
          <t>JÄMTLANDS LÄN</t>
        </is>
      </c>
      <c r="E163" t="inlineStr">
        <is>
          <t>HÄRJEDALEN</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56473-2018</t>
        </is>
      </c>
      <c r="B164" s="1" t="n">
        <v>43399</v>
      </c>
      <c r="C164" s="1" t="n">
        <v>45357</v>
      </c>
      <c r="D164" t="inlineStr">
        <is>
          <t>JÄMTLANDS LÄN</t>
        </is>
      </c>
      <c r="E164" t="inlineStr">
        <is>
          <t>HÄRJEDALEN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56693-2018</t>
        </is>
      </c>
      <c r="B165" s="1" t="n">
        <v>43402</v>
      </c>
      <c r="C165" s="1" t="n">
        <v>45357</v>
      </c>
      <c r="D165" t="inlineStr">
        <is>
          <t>JÄMTLANDS LÄN</t>
        </is>
      </c>
      <c r="E165" t="inlineStr">
        <is>
          <t>HÄRJEDALEN</t>
        </is>
      </c>
      <c r="G165" t="n">
        <v>2.6</v>
      </c>
      <c r="H165" t="n">
        <v>0</v>
      </c>
      <c r="I165" t="n">
        <v>0</v>
      </c>
      <c r="J165" t="n">
        <v>0</v>
      </c>
      <c r="K165" t="n">
        <v>0</v>
      </c>
      <c r="L165" t="n">
        <v>0</v>
      </c>
      <c r="M165" t="n">
        <v>0</v>
      </c>
      <c r="N165" t="n">
        <v>0</v>
      </c>
      <c r="O165" t="n">
        <v>0</v>
      </c>
      <c r="P165" t="n">
        <v>0</v>
      </c>
      <c r="Q165" t="n">
        <v>0</v>
      </c>
      <c r="R165" s="2" t="inlineStr"/>
    </row>
    <row r="166" ht="15" customHeight="1">
      <c r="A166" t="inlineStr">
        <is>
          <t>A 57667-2018</t>
        </is>
      </c>
      <c r="B166" s="1" t="n">
        <v>43404</v>
      </c>
      <c r="C166" s="1" t="n">
        <v>45357</v>
      </c>
      <c r="D166" t="inlineStr">
        <is>
          <t>JÄMTLANDS LÄN</t>
        </is>
      </c>
      <c r="E166" t="inlineStr">
        <is>
          <t>HÄRJEDALEN</t>
        </is>
      </c>
      <c r="G166" t="n">
        <v>46.5</v>
      </c>
      <c r="H166" t="n">
        <v>0</v>
      </c>
      <c r="I166" t="n">
        <v>0</v>
      </c>
      <c r="J166" t="n">
        <v>0</v>
      </c>
      <c r="K166" t="n">
        <v>0</v>
      </c>
      <c r="L166" t="n">
        <v>0</v>
      </c>
      <c r="M166" t="n">
        <v>0</v>
      </c>
      <c r="N166" t="n">
        <v>0</v>
      </c>
      <c r="O166" t="n">
        <v>0</v>
      </c>
      <c r="P166" t="n">
        <v>0</v>
      </c>
      <c r="Q166" t="n">
        <v>0</v>
      </c>
      <c r="R166" s="2" t="inlineStr"/>
    </row>
    <row r="167" ht="15" customHeight="1">
      <c r="A167" t="inlineStr">
        <is>
          <t>A 58088-2018</t>
        </is>
      </c>
      <c r="B167" s="1" t="n">
        <v>43406</v>
      </c>
      <c r="C167" s="1" t="n">
        <v>45357</v>
      </c>
      <c r="D167" t="inlineStr">
        <is>
          <t>JÄMTLANDS LÄN</t>
        </is>
      </c>
      <c r="E167" t="inlineStr">
        <is>
          <t>HÄRJEDALEN</t>
        </is>
      </c>
      <c r="G167" t="n">
        <v>6.6</v>
      </c>
      <c r="H167" t="n">
        <v>0</v>
      </c>
      <c r="I167" t="n">
        <v>0</v>
      </c>
      <c r="J167" t="n">
        <v>0</v>
      </c>
      <c r="K167" t="n">
        <v>0</v>
      </c>
      <c r="L167" t="n">
        <v>0</v>
      </c>
      <c r="M167" t="n">
        <v>0</v>
      </c>
      <c r="N167" t="n">
        <v>0</v>
      </c>
      <c r="O167" t="n">
        <v>0</v>
      </c>
      <c r="P167" t="n">
        <v>0</v>
      </c>
      <c r="Q167" t="n">
        <v>0</v>
      </c>
      <c r="R167" s="2" t="inlineStr"/>
    </row>
    <row r="168" ht="15" customHeight="1">
      <c r="A168" t="inlineStr">
        <is>
          <t>A 62016-2018</t>
        </is>
      </c>
      <c r="B168" s="1" t="n">
        <v>43416</v>
      </c>
      <c r="C168" s="1" t="n">
        <v>45357</v>
      </c>
      <c r="D168" t="inlineStr">
        <is>
          <t>JÄMTLANDS LÄN</t>
        </is>
      </c>
      <c r="E168" t="inlineStr">
        <is>
          <t>HÄRJEDALEN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59398-2018</t>
        </is>
      </c>
      <c r="B169" s="1" t="n">
        <v>43418</v>
      </c>
      <c r="C169" s="1" t="n">
        <v>45357</v>
      </c>
      <c r="D169" t="inlineStr">
        <is>
          <t>JÄMTLANDS LÄN</t>
        </is>
      </c>
      <c r="E169" t="inlineStr">
        <is>
          <t>HÄRJEDALEN</t>
        </is>
      </c>
      <c r="G169" t="n">
        <v>1.9</v>
      </c>
      <c r="H169" t="n">
        <v>0</v>
      </c>
      <c r="I169" t="n">
        <v>0</v>
      </c>
      <c r="J169" t="n">
        <v>0</v>
      </c>
      <c r="K169" t="n">
        <v>0</v>
      </c>
      <c r="L169" t="n">
        <v>0</v>
      </c>
      <c r="M169" t="n">
        <v>0</v>
      </c>
      <c r="N169" t="n">
        <v>0</v>
      </c>
      <c r="O169" t="n">
        <v>0</v>
      </c>
      <c r="P169" t="n">
        <v>0</v>
      </c>
      <c r="Q169" t="n">
        <v>0</v>
      </c>
      <c r="R169" s="2" t="inlineStr"/>
    </row>
    <row r="170" ht="15" customHeight="1">
      <c r="A170" t="inlineStr">
        <is>
          <t>A 59396-2018</t>
        </is>
      </c>
      <c r="B170" s="1" t="n">
        <v>43418</v>
      </c>
      <c r="C170" s="1" t="n">
        <v>45357</v>
      </c>
      <c r="D170" t="inlineStr">
        <is>
          <t>JÄMTLANDS LÄN</t>
        </is>
      </c>
      <c r="E170" t="inlineStr">
        <is>
          <t>HÄRJEDALEN</t>
        </is>
      </c>
      <c r="G170" t="n">
        <v>2.2</v>
      </c>
      <c r="H170" t="n">
        <v>0</v>
      </c>
      <c r="I170" t="n">
        <v>0</v>
      </c>
      <c r="J170" t="n">
        <v>0</v>
      </c>
      <c r="K170" t="n">
        <v>0</v>
      </c>
      <c r="L170" t="n">
        <v>0</v>
      </c>
      <c r="M170" t="n">
        <v>0</v>
      </c>
      <c r="N170" t="n">
        <v>0</v>
      </c>
      <c r="O170" t="n">
        <v>0</v>
      </c>
      <c r="P170" t="n">
        <v>0</v>
      </c>
      <c r="Q170" t="n">
        <v>0</v>
      </c>
      <c r="R170" s="2" t="inlineStr"/>
    </row>
    <row r="171" ht="15" customHeight="1">
      <c r="A171" t="inlineStr">
        <is>
          <t>A 63160-2018</t>
        </is>
      </c>
      <c r="B171" s="1" t="n">
        <v>43418</v>
      </c>
      <c r="C171" s="1" t="n">
        <v>45357</v>
      </c>
      <c r="D171" t="inlineStr">
        <is>
          <t>JÄMTLANDS LÄN</t>
        </is>
      </c>
      <c r="E171" t="inlineStr">
        <is>
          <t>HÄRJEDALEN</t>
        </is>
      </c>
      <c r="G171" t="n">
        <v>22.6</v>
      </c>
      <c r="H171" t="n">
        <v>0</v>
      </c>
      <c r="I171" t="n">
        <v>0</v>
      </c>
      <c r="J171" t="n">
        <v>0</v>
      </c>
      <c r="K171" t="n">
        <v>0</v>
      </c>
      <c r="L171" t="n">
        <v>0</v>
      </c>
      <c r="M171" t="n">
        <v>0</v>
      </c>
      <c r="N171" t="n">
        <v>0</v>
      </c>
      <c r="O171" t="n">
        <v>0</v>
      </c>
      <c r="P171" t="n">
        <v>0</v>
      </c>
      <c r="Q171" t="n">
        <v>0</v>
      </c>
      <c r="R171" s="2" t="inlineStr"/>
    </row>
    <row r="172" ht="15" customHeight="1">
      <c r="A172" t="inlineStr">
        <is>
          <t>A 59358-2018</t>
        </is>
      </c>
      <c r="B172" s="1" t="n">
        <v>43418</v>
      </c>
      <c r="C172" s="1" t="n">
        <v>45357</v>
      </c>
      <c r="D172" t="inlineStr">
        <is>
          <t>JÄMTLANDS LÄN</t>
        </is>
      </c>
      <c r="E172" t="inlineStr">
        <is>
          <t>HÄRJEDALEN</t>
        </is>
      </c>
      <c r="G172" t="n">
        <v>6.2</v>
      </c>
      <c r="H172" t="n">
        <v>0</v>
      </c>
      <c r="I172" t="n">
        <v>0</v>
      </c>
      <c r="J172" t="n">
        <v>0</v>
      </c>
      <c r="K172" t="n">
        <v>0</v>
      </c>
      <c r="L172" t="n">
        <v>0</v>
      </c>
      <c r="M172" t="n">
        <v>0</v>
      </c>
      <c r="N172" t="n">
        <v>0</v>
      </c>
      <c r="O172" t="n">
        <v>0</v>
      </c>
      <c r="P172" t="n">
        <v>0</v>
      </c>
      <c r="Q172" t="n">
        <v>0</v>
      </c>
      <c r="R172" s="2" t="inlineStr"/>
    </row>
    <row r="173" ht="15" customHeight="1">
      <c r="A173" t="inlineStr">
        <is>
          <t>A 59751-2018</t>
        </is>
      </c>
      <c r="B173" s="1" t="n">
        <v>43419</v>
      </c>
      <c r="C173" s="1" t="n">
        <v>45357</v>
      </c>
      <c r="D173" t="inlineStr">
        <is>
          <t>JÄMTLANDS LÄN</t>
        </is>
      </c>
      <c r="E173" t="inlineStr">
        <is>
          <t>HÄRJEDALEN</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59683-2018</t>
        </is>
      </c>
      <c r="B174" s="1" t="n">
        <v>43419</v>
      </c>
      <c r="C174" s="1" t="n">
        <v>45357</v>
      </c>
      <c r="D174" t="inlineStr">
        <is>
          <t>JÄMTLANDS LÄN</t>
        </is>
      </c>
      <c r="E174" t="inlineStr">
        <is>
          <t>HÄRJEDALEN</t>
        </is>
      </c>
      <c r="F174" t="inlineStr">
        <is>
          <t>Bergvik skog väst AB</t>
        </is>
      </c>
      <c r="G174" t="n">
        <v>6.2</v>
      </c>
      <c r="H174" t="n">
        <v>0</v>
      </c>
      <c r="I174" t="n">
        <v>0</v>
      </c>
      <c r="J174" t="n">
        <v>0</v>
      </c>
      <c r="K174" t="n">
        <v>0</v>
      </c>
      <c r="L174" t="n">
        <v>0</v>
      </c>
      <c r="M174" t="n">
        <v>0</v>
      </c>
      <c r="N174" t="n">
        <v>0</v>
      </c>
      <c r="O174" t="n">
        <v>0</v>
      </c>
      <c r="P174" t="n">
        <v>0</v>
      </c>
      <c r="Q174" t="n">
        <v>0</v>
      </c>
      <c r="R174" s="2" t="inlineStr"/>
    </row>
    <row r="175" ht="15" customHeight="1">
      <c r="A175" t="inlineStr">
        <is>
          <t>A 60348-2018</t>
        </is>
      </c>
      <c r="B175" s="1" t="n">
        <v>43420</v>
      </c>
      <c r="C175" s="1" t="n">
        <v>45357</v>
      </c>
      <c r="D175" t="inlineStr">
        <is>
          <t>JÄMTLANDS LÄN</t>
        </is>
      </c>
      <c r="E175" t="inlineStr">
        <is>
          <t>HÄRJEDALEN</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60086-2018</t>
        </is>
      </c>
      <c r="B176" s="1" t="n">
        <v>43420</v>
      </c>
      <c r="C176" s="1" t="n">
        <v>45357</v>
      </c>
      <c r="D176" t="inlineStr">
        <is>
          <t>JÄMTLANDS LÄN</t>
        </is>
      </c>
      <c r="E176" t="inlineStr">
        <is>
          <t>HÄRJEDALEN</t>
        </is>
      </c>
      <c r="F176" t="inlineStr">
        <is>
          <t>Bergvik skog väst AB</t>
        </is>
      </c>
      <c r="G176" t="n">
        <v>25.8</v>
      </c>
      <c r="H176" t="n">
        <v>0</v>
      </c>
      <c r="I176" t="n">
        <v>0</v>
      </c>
      <c r="J176" t="n">
        <v>0</v>
      </c>
      <c r="K176" t="n">
        <v>0</v>
      </c>
      <c r="L176" t="n">
        <v>0</v>
      </c>
      <c r="M176" t="n">
        <v>0</v>
      </c>
      <c r="N176" t="n">
        <v>0</v>
      </c>
      <c r="O176" t="n">
        <v>0</v>
      </c>
      <c r="P176" t="n">
        <v>0</v>
      </c>
      <c r="Q176" t="n">
        <v>0</v>
      </c>
      <c r="R176" s="2" t="inlineStr"/>
    </row>
    <row r="177" ht="15" customHeight="1">
      <c r="A177" t="inlineStr">
        <is>
          <t>A 61016-2018</t>
        </is>
      </c>
      <c r="B177" s="1" t="n">
        <v>43423</v>
      </c>
      <c r="C177" s="1" t="n">
        <v>45357</v>
      </c>
      <c r="D177" t="inlineStr">
        <is>
          <t>JÄMTLANDS LÄN</t>
        </is>
      </c>
      <c r="E177" t="inlineStr">
        <is>
          <t>HÄRJEDALEN</t>
        </is>
      </c>
      <c r="G177" t="n">
        <v>4.2</v>
      </c>
      <c r="H177" t="n">
        <v>0</v>
      </c>
      <c r="I177" t="n">
        <v>0</v>
      </c>
      <c r="J177" t="n">
        <v>0</v>
      </c>
      <c r="K177" t="n">
        <v>0</v>
      </c>
      <c r="L177" t="n">
        <v>0</v>
      </c>
      <c r="M177" t="n">
        <v>0</v>
      </c>
      <c r="N177" t="n">
        <v>0</v>
      </c>
      <c r="O177" t="n">
        <v>0</v>
      </c>
      <c r="P177" t="n">
        <v>0</v>
      </c>
      <c r="Q177" t="n">
        <v>0</v>
      </c>
      <c r="R177" s="2" t="inlineStr"/>
    </row>
    <row r="178" ht="15" customHeight="1">
      <c r="A178" t="inlineStr">
        <is>
          <t>A 63207-2018</t>
        </is>
      </c>
      <c r="B178" s="1" t="n">
        <v>43426</v>
      </c>
      <c r="C178" s="1" t="n">
        <v>45357</v>
      </c>
      <c r="D178" t="inlineStr">
        <is>
          <t>JÄMTLANDS LÄN</t>
        </is>
      </c>
      <c r="E178" t="inlineStr">
        <is>
          <t>HÄRJEDALEN</t>
        </is>
      </c>
      <c r="G178" t="n">
        <v>0.9</v>
      </c>
      <c r="H178" t="n">
        <v>0</v>
      </c>
      <c r="I178" t="n">
        <v>0</v>
      </c>
      <c r="J178" t="n">
        <v>0</v>
      </c>
      <c r="K178" t="n">
        <v>0</v>
      </c>
      <c r="L178" t="n">
        <v>0</v>
      </c>
      <c r="M178" t="n">
        <v>0</v>
      </c>
      <c r="N178" t="n">
        <v>0</v>
      </c>
      <c r="O178" t="n">
        <v>0</v>
      </c>
      <c r="P178" t="n">
        <v>0</v>
      </c>
      <c r="Q178" t="n">
        <v>0</v>
      </c>
      <c r="R178" s="2" t="inlineStr"/>
    </row>
    <row r="179" ht="15" customHeight="1">
      <c r="A179" t="inlineStr">
        <is>
          <t>A 62889-2018</t>
        </is>
      </c>
      <c r="B179" s="1" t="n">
        <v>43426</v>
      </c>
      <c r="C179" s="1" t="n">
        <v>45357</v>
      </c>
      <c r="D179" t="inlineStr">
        <is>
          <t>JÄMTLANDS LÄN</t>
        </is>
      </c>
      <c r="E179" t="inlineStr">
        <is>
          <t>HÄRJEDALEN</t>
        </is>
      </c>
      <c r="G179" t="n">
        <v>4.6</v>
      </c>
      <c r="H179" t="n">
        <v>0</v>
      </c>
      <c r="I179" t="n">
        <v>0</v>
      </c>
      <c r="J179" t="n">
        <v>0</v>
      </c>
      <c r="K179" t="n">
        <v>0</v>
      </c>
      <c r="L179" t="n">
        <v>0</v>
      </c>
      <c r="M179" t="n">
        <v>0</v>
      </c>
      <c r="N179" t="n">
        <v>0</v>
      </c>
      <c r="O179" t="n">
        <v>0</v>
      </c>
      <c r="P179" t="n">
        <v>0</v>
      </c>
      <c r="Q179" t="n">
        <v>0</v>
      </c>
      <c r="R179" s="2" t="inlineStr"/>
    </row>
    <row r="180" ht="15" customHeight="1">
      <c r="A180" t="inlineStr">
        <is>
          <t>A 63265-2018</t>
        </is>
      </c>
      <c r="B180" s="1" t="n">
        <v>43426</v>
      </c>
      <c r="C180" s="1" t="n">
        <v>45357</v>
      </c>
      <c r="D180" t="inlineStr">
        <is>
          <t>JÄMTLANDS LÄN</t>
        </is>
      </c>
      <c r="E180" t="inlineStr">
        <is>
          <t>HÄRJEDALEN</t>
        </is>
      </c>
      <c r="G180" t="n">
        <v>45</v>
      </c>
      <c r="H180" t="n">
        <v>0</v>
      </c>
      <c r="I180" t="n">
        <v>0</v>
      </c>
      <c r="J180" t="n">
        <v>0</v>
      </c>
      <c r="K180" t="n">
        <v>0</v>
      </c>
      <c r="L180" t="n">
        <v>0</v>
      </c>
      <c r="M180" t="n">
        <v>0</v>
      </c>
      <c r="N180" t="n">
        <v>0</v>
      </c>
      <c r="O180" t="n">
        <v>0</v>
      </c>
      <c r="P180" t="n">
        <v>0</v>
      </c>
      <c r="Q180" t="n">
        <v>0</v>
      </c>
      <c r="R180" s="2" t="inlineStr"/>
    </row>
    <row r="181" ht="15" customHeight="1">
      <c r="A181" t="inlineStr">
        <is>
          <t>A 63355-2018</t>
        </is>
      </c>
      <c r="B181" s="1" t="n">
        <v>43427</v>
      </c>
      <c r="C181" s="1" t="n">
        <v>45357</v>
      </c>
      <c r="D181" t="inlineStr">
        <is>
          <t>JÄMTLANDS LÄN</t>
        </is>
      </c>
      <c r="E181" t="inlineStr">
        <is>
          <t>HÄRJEDALEN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64493-2018</t>
        </is>
      </c>
      <c r="B182" s="1" t="n">
        <v>43431</v>
      </c>
      <c r="C182" s="1" t="n">
        <v>45357</v>
      </c>
      <c r="D182" t="inlineStr">
        <is>
          <t>JÄMTLANDS LÄN</t>
        </is>
      </c>
      <c r="E182" t="inlineStr">
        <is>
          <t>HÄRJEDALEN</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65832-2018</t>
        </is>
      </c>
      <c r="B183" s="1" t="n">
        <v>43433</v>
      </c>
      <c r="C183" s="1" t="n">
        <v>45357</v>
      </c>
      <c r="D183" t="inlineStr">
        <is>
          <t>JÄMTLANDS LÄN</t>
        </is>
      </c>
      <c r="E183" t="inlineStr">
        <is>
          <t>HÄRJEDALEN</t>
        </is>
      </c>
      <c r="F183" t="inlineStr">
        <is>
          <t>Sveaskog</t>
        </is>
      </c>
      <c r="G183" t="n">
        <v>30.2</v>
      </c>
      <c r="H183" t="n">
        <v>0</v>
      </c>
      <c r="I183" t="n">
        <v>0</v>
      </c>
      <c r="J183" t="n">
        <v>0</v>
      </c>
      <c r="K183" t="n">
        <v>0</v>
      </c>
      <c r="L183" t="n">
        <v>0</v>
      </c>
      <c r="M183" t="n">
        <v>0</v>
      </c>
      <c r="N183" t="n">
        <v>0</v>
      </c>
      <c r="O183" t="n">
        <v>0</v>
      </c>
      <c r="P183" t="n">
        <v>0</v>
      </c>
      <c r="Q183" t="n">
        <v>0</v>
      </c>
      <c r="R183" s="2" t="inlineStr"/>
    </row>
    <row r="184" ht="15" customHeight="1">
      <c r="A184" t="inlineStr">
        <is>
          <t>A 66771-2018</t>
        </is>
      </c>
      <c r="B184" s="1" t="n">
        <v>43437</v>
      </c>
      <c r="C184" s="1" t="n">
        <v>45357</v>
      </c>
      <c r="D184" t="inlineStr">
        <is>
          <t>JÄMTLANDS LÄN</t>
        </is>
      </c>
      <c r="E184" t="inlineStr">
        <is>
          <t>HÄRJEDALEN</t>
        </is>
      </c>
      <c r="G184" t="n">
        <v>2</v>
      </c>
      <c r="H184" t="n">
        <v>0</v>
      </c>
      <c r="I184" t="n">
        <v>0</v>
      </c>
      <c r="J184" t="n">
        <v>0</v>
      </c>
      <c r="K184" t="n">
        <v>0</v>
      </c>
      <c r="L184" t="n">
        <v>0</v>
      </c>
      <c r="M184" t="n">
        <v>0</v>
      </c>
      <c r="N184" t="n">
        <v>0</v>
      </c>
      <c r="O184" t="n">
        <v>0</v>
      </c>
      <c r="P184" t="n">
        <v>0</v>
      </c>
      <c r="Q184" t="n">
        <v>0</v>
      </c>
      <c r="R184" s="2" t="inlineStr"/>
    </row>
    <row r="185" ht="15" customHeight="1">
      <c r="A185" t="inlineStr">
        <is>
          <t>A 66753-2018</t>
        </is>
      </c>
      <c r="B185" s="1" t="n">
        <v>43438</v>
      </c>
      <c r="C185" s="1" t="n">
        <v>45357</v>
      </c>
      <c r="D185" t="inlineStr">
        <is>
          <t>JÄMTLANDS LÄN</t>
        </is>
      </c>
      <c r="E185" t="inlineStr">
        <is>
          <t>HÄRJEDALEN</t>
        </is>
      </c>
      <c r="G185" t="n">
        <v>0.2</v>
      </c>
      <c r="H185" t="n">
        <v>0</v>
      </c>
      <c r="I185" t="n">
        <v>0</v>
      </c>
      <c r="J185" t="n">
        <v>0</v>
      </c>
      <c r="K185" t="n">
        <v>0</v>
      </c>
      <c r="L185" t="n">
        <v>0</v>
      </c>
      <c r="M185" t="n">
        <v>0</v>
      </c>
      <c r="N185" t="n">
        <v>0</v>
      </c>
      <c r="O185" t="n">
        <v>0</v>
      </c>
      <c r="P185" t="n">
        <v>0</v>
      </c>
      <c r="Q185" t="n">
        <v>0</v>
      </c>
      <c r="R185" s="2" t="inlineStr"/>
    </row>
    <row r="186" ht="15" customHeight="1">
      <c r="A186" t="inlineStr">
        <is>
          <t>A 67377-2018</t>
        </is>
      </c>
      <c r="B186" s="1" t="n">
        <v>43439</v>
      </c>
      <c r="C186" s="1" t="n">
        <v>45357</v>
      </c>
      <c r="D186" t="inlineStr">
        <is>
          <t>JÄMTLANDS LÄN</t>
        </is>
      </c>
      <c r="E186" t="inlineStr">
        <is>
          <t>HÄRJEDALEN</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67690-2018</t>
        </is>
      </c>
      <c r="B187" s="1" t="n">
        <v>43440</v>
      </c>
      <c r="C187" s="1" t="n">
        <v>45357</v>
      </c>
      <c r="D187" t="inlineStr">
        <is>
          <t>JÄMTLANDS LÄN</t>
        </is>
      </c>
      <c r="E187" t="inlineStr">
        <is>
          <t>HÄRJEDALEN</t>
        </is>
      </c>
      <c r="G187" t="n">
        <v>5.2</v>
      </c>
      <c r="H187" t="n">
        <v>0</v>
      </c>
      <c r="I187" t="n">
        <v>0</v>
      </c>
      <c r="J187" t="n">
        <v>0</v>
      </c>
      <c r="K187" t="n">
        <v>0</v>
      </c>
      <c r="L187" t="n">
        <v>0</v>
      </c>
      <c r="M187" t="n">
        <v>0</v>
      </c>
      <c r="N187" t="n">
        <v>0</v>
      </c>
      <c r="O187" t="n">
        <v>0</v>
      </c>
      <c r="P187" t="n">
        <v>0</v>
      </c>
      <c r="Q187" t="n">
        <v>0</v>
      </c>
      <c r="R187" s="2" t="inlineStr"/>
    </row>
    <row r="188" ht="15" customHeight="1">
      <c r="A188" t="inlineStr">
        <is>
          <t>A 69217-2018</t>
        </is>
      </c>
      <c r="B188" s="1" t="n">
        <v>43445</v>
      </c>
      <c r="C188" s="1" t="n">
        <v>45357</v>
      </c>
      <c r="D188" t="inlineStr">
        <is>
          <t>JÄMTLANDS LÄN</t>
        </is>
      </c>
      <c r="E188" t="inlineStr">
        <is>
          <t>HÄRJEDALEN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69220-2018</t>
        </is>
      </c>
      <c r="B189" s="1" t="n">
        <v>43445</v>
      </c>
      <c r="C189" s="1" t="n">
        <v>45357</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69218-2018</t>
        </is>
      </c>
      <c r="B190" s="1" t="n">
        <v>43445</v>
      </c>
      <c r="C190" s="1" t="n">
        <v>45357</v>
      </c>
      <c r="D190" t="inlineStr">
        <is>
          <t>JÄMTLANDS LÄN</t>
        </is>
      </c>
      <c r="E190" t="inlineStr">
        <is>
          <t>HÄRJEDALEN</t>
        </is>
      </c>
      <c r="G190" t="n">
        <v>0.2</v>
      </c>
      <c r="H190" t="n">
        <v>0</v>
      </c>
      <c r="I190" t="n">
        <v>0</v>
      </c>
      <c r="J190" t="n">
        <v>0</v>
      </c>
      <c r="K190" t="n">
        <v>0</v>
      </c>
      <c r="L190" t="n">
        <v>0</v>
      </c>
      <c r="M190" t="n">
        <v>0</v>
      </c>
      <c r="N190" t="n">
        <v>0</v>
      </c>
      <c r="O190" t="n">
        <v>0</v>
      </c>
      <c r="P190" t="n">
        <v>0</v>
      </c>
      <c r="Q190" t="n">
        <v>0</v>
      </c>
      <c r="R190" s="2" t="inlineStr"/>
    </row>
    <row r="191" ht="15" customHeight="1">
      <c r="A191" t="inlineStr">
        <is>
          <t>A 69219-2018</t>
        </is>
      </c>
      <c r="B191" s="1" t="n">
        <v>43445</v>
      </c>
      <c r="C191" s="1" t="n">
        <v>45357</v>
      </c>
      <c r="D191" t="inlineStr">
        <is>
          <t>JÄMTLANDS LÄN</t>
        </is>
      </c>
      <c r="E191" t="inlineStr">
        <is>
          <t>HÄRJEDALEN</t>
        </is>
      </c>
      <c r="G191" t="n">
        <v>0.1</v>
      </c>
      <c r="H191" t="n">
        <v>0</v>
      </c>
      <c r="I191" t="n">
        <v>0</v>
      </c>
      <c r="J191" t="n">
        <v>0</v>
      </c>
      <c r="K191" t="n">
        <v>0</v>
      </c>
      <c r="L191" t="n">
        <v>0</v>
      </c>
      <c r="M191" t="n">
        <v>0</v>
      </c>
      <c r="N191" t="n">
        <v>0</v>
      </c>
      <c r="O191" t="n">
        <v>0</v>
      </c>
      <c r="P191" t="n">
        <v>0</v>
      </c>
      <c r="Q191" t="n">
        <v>0</v>
      </c>
      <c r="R191" s="2" t="inlineStr"/>
    </row>
    <row r="192" ht="15" customHeight="1">
      <c r="A192" t="inlineStr">
        <is>
          <t>A 69190-2018</t>
        </is>
      </c>
      <c r="B192" s="1" t="n">
        <v>43445</v>
      </c>
      <c r="C192" s="1" t="n">
        <v>45357</v>
      </c>
      <c r="D192" t="inlineStr">
        <is>
          <t>JÄMTLANDS LÄN</t>
        </is>
      </c>
      <c r="E192" t="inlineStr">
        <is>
          <t>HÄRJEDALEN</t>
        </is>
      </c>
      <c r="G192" t="n">
        <v>0.8</v>
      </c>
      <c r="H192" t="n">
        <v>0</v>
      </c>
      <c r="I192" t="n">
        <v>0</v>
      </c>
      <c r="J192" t="n">
        <v>0</v>
      </c>
      <c r="K192" t="n">
        <v>0</v>
      </c>
      <c r="L192" t="n">
        <v>0</v>
      </c>
      <c r="M192" t="n">
        <v>0</v>
      </c>
      <c r="N192" t="n">
        <v>0</v>
      </c>
      <c r="O192" t="n">
        <v>0</v>
      </c>
      <c r="P192" t="n">
        <v>0</v>
      </c>
      <c r="Q192" t="n">
        <v>0</v>
      </c>
      <c r="R192" s="2" t="inlineStr"/>
    </row>
    <row r="193" ht="15" customHeight="1">
      <c r="A193" t="inlineStr">
        <is>
          <t>A 70674-2018</t>
        </is>
      </c>
      <c r="B193" s="1" t="n">
        <v>43451</v>
      </c>
      <c r="C193" s="1" t="n">
        <v>45357</v>
      </c>
      <c r="D193" t="inlineStr">
        <is>
          <t>JÄMTLANDS LÄN</t>
        </is>
      </c>
      <c r="E193" t="inlineStr">
        <is>
          <t>HÄRJEDALEN</t>
        </is>
      </c>
      <c r="G193" t="n">
        <v>11.9</v>
      </c>
      <c r="H193" t="n">
        <v>0</v>
      </c>
      <c r="I193" t="n">
        <v>0</v>
      </c>
      <c r="J193" t="n">
        <v>0</v>
      </c>
      <c r="K193" t="n">
        <v>0</v>
      </c>
      <c r="L193" t="n">
        <v>0</v>
      </c>
      <c r="M193" t="n">
        <v>0</v>
      </c>
      <c r="N193" t="n">
        <v>0</v>
      </c>
      <c r="O193" t="n">
        <v>0</v>
      </c>
      <c r="P193" t="n">
        <v>0</v>
      </c>
      <c r="Q193" t="n">
        <v>0</v>
      </c>
      <c r="R193" s="2" t="inlineStr"/>
    </row>
    <row r="194" ht="15" customHeight="1">
      <c r="A194" t="inlineStr">
        <is>
          <t>A 71199-2018</t>
        </is>
      </c>
      <c r="B194" s="1" t="n">
        <v>43453</v>
      </c>
      <c r="C194" s="1" t="n">
        <v>45357</v>
      </c>
      <c r="D194" t="inlineStr">
        <is>
          <t>JÄMTLANDS LÄN</t>
        </is>
      </c>
      <c r="E194" t="inlineStr">
        <is>
          <t>HÄRJEDALEN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71185-2018</t>
        </is>
      </c>
      <c r="B195" s="1" t="n">
        <v>43453</v>
      </c>
      <c r="C195" s="1" t="n">
        <v>45357</v>
      </c>
      <c r="D195" t="inlineStr">
        <is>
          <t>JÄMTLANDS LÄN</t>
        </is>
      </c>
      <c r="E195" t="inlineStr">
        <is>
          <t>HÄRJEDALEN</t>
        </is>
      </c>
      <c r="F195" t="inlineStr">
        <is>
          <t>Sveaskog</t>
        </is>
      </c>
      <c r="G195" t="n">
        <v>24.8</v>
      </c>
      <c r="H195" t="n">
        <v>0</v>
      </c>
      <c r="I195" t="n">
        <v>0</v>
      </c>
      <c r="J195" t="n">
        <v>0</v>
      </c>
      <c r="K195" t="n">
        <v>0</v>
      </c>
      <c r="L195" t="n">
        <v>0</v>
      </c>
      <c r="M195" t="n">
        <v>0</v>
      </c>
      <c r="N195" t="n">
        <v>0</v>
      </c>
      <c r="O195" t="n">
        <v>0</v>
      </c>
      <c r="P195" t="n">
        <v>0</v>
      </c>
      <c r="Q195" t="n">
        <v>0</v>
      </c>
      <c r="R195" s="2" t="inlineStr"/>
    </row>
    <row r="196" ht="15" customHeight="1">
      <c r="A196" t="inlineStr">
        <is>
          <t>A 71624-2018</t>
        </is>
      </c>
      <c r="B196" s="1" t="n">
        <v>43454</v>
      </c>
      <c r="C196" s="1" t="n">
        <v>45357</v>
      </c>
      <c r="D196" t="inlineStr">
        <is>
          <t>JÄMTLANDS LÄN</t>
        </is>
      </c>
      <c r="E196" t="inlineStr">
        <is>
          <t>HÄRJEDALEN</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71676-2018</t>
        </is>
      </c>
      <c r="B197" s="1" t="n">
        <v>43454</v>
      </c>
      <c r="C197" s="1" t="n">
        <v>45357</v>
      </c>
      <c r="D197" t="inlineStr">
        <is>
          <t>JÄMTLANDS LÄN</t>
        </is>
      </c>
      <c r="E197" t="inlineStr">
        <is>
          <t>HÄRJEDALEN</t>
        </is>
      </c>
      <c r="G197" t="n">
        <v>11.9</v>
      </c>
      <c r="H197" t="n">
        <v>0</v>
      </c>
      <c r="I197" t="n">
        <v>0</v>
      </c>
      <c r="J197" t="n">
        <v>0</v>
      </c>
      <c r="K197" t="n">
        <v>0</v>
      </c>
      <c r="L197" t="n">
        <v>0</v>
      </c>
      <c r="M197" t="n">
        <v>0</v>
      </c>
      <c r="N197" t="n">
        <v>0</v>
      </c>
      <c r="O197" t="n">
        <v>0</v>
      </c>
      <c r="P197" t="n">
        <v>0</v>
      </c>
      <c r="Q197" t="n">
        <v>0</v>
      </c>
      <c r="R197" s="2" t="inlineStr"/>
    </row>
    <row r="198" ht="15" customHeight="1">
      <c r="A198" t="inlineStr">
        <is>
          <t>A 71680-2018</t>
        </is>
      </c>
      <c r="B198" s="1" t="n">
        <v>43454</v>
      </c>
      <c r="C198" s="1" t="n">
        <v>45357</v>
      </c>
      <c r="D198" t="inlineStr">
        <is>
          <t>JÄMTLANDS LÄN</t>
        </is>
      </c>
      <c r="E198" t="inlineStr">
        <is>
          <t>HÄRJEDALEN</t>
        </is>
      </c>
      <c r="G198" t="n">
        <v>19.7</v>
      </c>
      <c r="H198" t="n">
        <v>0</v>
      </c>
      <c r="I198" t="n">
        <v>0</v>
      </c>
      <c r="J198" t="n">
        <v>0</v>
      </c>
      <c r="K198" t="n">
        <v>0</v>
      </c>
      <c r="L198" t="n">
        <v>0</v>
      </c>
      <c r="M198" t="n">
        <v>0</v>
      </c>
      <c r="N198" t="n">
        <v>0</v>
      </c>
      <c r="O198" t="n">
        <v>0</v>
      </c>
      <c r="P198" t="n">
        <v>0</v>
      </c>
      <c r="Q198" t="n">
        <v>0</v>
      </c>
      <c r="R198" s="2" t="inlineStr"/>
    </row>
    <row r="199" ht="15" customHeight="1">
      <c r="A199" t="inlineStr">
        <is>
          <t>A 1409-2019</t>
        </is>
      </c>
      <c r="B199" s="1" t="n">
        <v>43461</v>
      </c>
      <c r="C199" s="1" t="n">
        <v>45357</v>
      </c>
      <c r="D199" t="inlineStr">
        <is>
          <t>JÄMTLANDS LÄN</t>
        </is>
      </c>
      <c r="E199" t="inlineStr">
        <is>
          <t>HÄRJEDALEN</t>
        </is>
      </c>
      <c r="G199" t="n">
        <v>43.3</v>
      </c>
      <c r="H199" t="n">
        <v>0</v>
      </c>
      <c r="I199" t="n">
        <v>0</v>
      </c>
      <c r="J199" t="n">
        <v>0</v>
      </c>
      <c r="K199" t="n">
        <v>0</v>
      </c>
      <c r="L199" t="n">
        <v>0</v>
      </c>
      <c r="M199" t="n">
        <v>0</v>
      </c>
      <c r="N199" t="n">
        <v>0</v>
      </c>
      <c r="O199" t="n">
        <v>0</v>
      </c>
      <c r="P199" t="n">
        <v>0</v>
      </c>
      <c r="Q199" t="n">
        <v>0</v>
      </c>
      <c r="R199" s="2" t="inlineStr"/>
    </row>
    <row r="200" ht="15" customHeight="1">
      <c r="A200" t="inlineStr">
        <is>
          <t>A 556-2019</t>
        </is>
      </c>
      <c r="B200" s="1" t="n">
        <v>43469</v>
      </c>
      <c r="C200" s="1" t="n">
        <v>45357</v>
      </c>
      <c r="D200" t="inlineStr">
        <is>
          <t>JÄMTLANDS LÄN</t>
        </is>
      </c>
      <c r="E200" t="inlineStr">
        <is>
          <t>HÄRJEDALEN</t>
        </is>
      </c>
      <c r="G200" t="n">
        <v>3.4</v>
      </c>
      <c r="H200" t="n">
        <v>0</v>
      </c>
      <c r="I200" t="n">
        <v>0</v>
      </c>
      <c r="J200" t="n">
        <v>0</v>
      </c>
      <c r="K200" t="n">
        <v>0</v>
      </c>
      <c r="L200" t="n">
        <v>0</v>
      </c>
      <c r="M200" t="n">
        <v>0</v>
      </c>
      <c r="N200" t="n">
        <v>0</v>
      </c>
      <c r="O200" t="n">
        <v>0</v>
      </c>
      <c r="P200" t="n">
        <v>0</v>
      </c>
      <c r="Q200" t="n">
        <v>0</v>
      </c>
      <c r="R200" s="2" t="inlineStr"/>
    </row>
    <row r="201" ht="15" customHeight="1">
      <c r="A201" t="inlineStr">
        <is>
          <t>A 1750-2019</t>
        </is>
      </c>
      <c r="B201" s="1" t="n">
        <v>43474</v>
      </c>
      <c r="C201" s="1" t="n">
        <v>45357</v>
      </c>
      <c r="D201" t="inlineStr">
        <is>
          <t>JÄMTLANDS LÄN</t>
        </is>
      </c>
      <c r="E201" t="inlineStr">
        <is>
          <t>HÄRJEDALEN</t>
        </is>
      </c>
      <c r="G201" t="n">
        <v>6.4</v>
      </c>
      <c r="H201" t="n">
        <v>0</v>
      </c>
      <c r="I201" t="n">
        <v>0</v>
      </c>
      <c r="J201" t="n">
        <v>0</v>
      </c>
      <c r="K201" t="n">
        <v>0</v>
      </c>
      <c r="L201" t="n">
        <v>0</v>
      </c>
      <c r="M201" t="n">
        <v>0</v>
      </c>
      <c r="N201" t="n">
        <v>0</v>
      </c>
      <c r="O201" t="n">
        <v>0</v>
      </c>
      <c r="P201" t="n">
        <v>0</v>
      </c>
      <c r="Q201" t="n">
        <v>0</v>
      </c>
      <c r="R201" s="2" t="inlineStr"/>
    </row>
    <row r="202" ht="15" customHeight="1">
      <c r="A202" t="inlineStr">
        <is>
          <t>A 6025-2019</t>
        </is>
      </c>
      <c r="B202" s="1" t="n">
        <v>43474</v>
      </c>
      <c r="C202" s="1" t="n">
        <v>45357</v>
      </c>
      <c r="D202" t="inlineStr">
        <is>
          <t>JÄMTLANDS LÄN</t>
        </is>
      </c>
      <c r="E202" t="inlineStr">
        <is>
          <t>HÄRJEDALEN</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3328-2019</t>
        </is>
      </c>
      <c r="B203" s="1" t="n">
        <v>43474</v>
      </c>
      <c r="C203" s="1" t="n">
        <v>45357</v>
      </c>
      <c r="D203" t="inlineStr">
        <is>
          <t>JÄMTLANDS LÄN</t>
        </is>
      </c>
      <c r="E203" t="inlineStr">
        <is>
          <t>HÄRJEDALEN</t>
        </is>
      </c>
      <c r="F203" t="inlineStr">
        <is>
          <t>Bergvik skog väst AB</t>
        </is>
      </c>
      <c r="G203" t="n">
        <v>0.7</v>
      </c>
      <c r="H203" t="n">
        <v>0</v>
      </c>
      <c r="I203" t="n">
        <v>0</v>
      </c>
      <c r="J203" t="n">
        <v>0</v>
      </c>
      <c r="K203" t="n">
        <v>0</v>
      </c>
      <c r="L203" t="n">
        <v>0</v>
      </c>
      <c r="M203" t="n">
        <v>0</v>
      </c>
      <c r="N203" t="n">
        <v>0</v>
      </c>
      <c r="O203" t="n">
        <v>0</v>
      </c>
      <c r="P203" t="n">
        <v>0</v>
      </c>
      <c r="Q203" t="n">
        <v>0</v>
      </c>
      <c r="R203" s="2" t="inlineStr"/>
    </row>
    <row r="204" ht="15" customHeight="1">
      <c r="A204" t="inlineStr">
        <is>
          <t>A 1835-2019</t>
        </is>
      </c>
      <c r="B204" s="1" t="n">
        <v>43474</v>
      </c>
      <c r="C204" s="1" t="n">
        <v>45357</v>
      </c>
      <c r="D204" t="inlineStr">
        <is>
          <t>JÄMTLANDS LÄN</t>
        </is>
      </c>
      <c r="E204" t="inlineStr">
        <is>
          <t>HÄRJEDALEN</t>
        </is>
      </c>
      <c r="G204" t="n">
        <v>4.9</v>
      </c>
      <c r="H204" t="n">
        <v>0</v>
      </c>
      <c r="I204" t="n">
        <v>0</v>
      </c>
      <c r="J204" t="n">
        <v>0</v>
      </c>
      <c r="K204" t="n">
        <v>0</v>
      </c>
      <c r="L204" t="n">
        <v>0</v>
      </c>
      <c r="M204" t="n">
        <v>0</v>
      </c>
      <c r="N204" t="n">
        <v>0</v>
      </c>
      <c r="O204" t="n">
        <v>0</v>
      </c>
      <c r="P204" t="n">
        <v>0</v>
      </c>
      <c r="Q204" t="n">
        <v>0</v>
      </c>
      <c r="R204" s="2" t="inlineStr"/>
    </row>
    <row r="205" ht="15" customHeight="1">
      <c r="A205" t="inlineStr">
        <is>
          <t>A 6127-2019</t>
        </is>
      </c>
      <c r="B205" s="1" t="n">
        <v>43474</v>
      </c>
      <c r="C205" s="1" t="n">
        <v>45357</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2135-2019</t>
        </is>
      </c>
      <c r="B206" s="1" t="n">
        <v>43475</v>
      </c>
      <c r="C206" s="1" t="n">
        <v>45357</v>
      </c>
      <c r="D206" t="inlineStr">
        <is>
          <t>JÄMTLANDS LÄN</t>
        </is>
      </c>
      <c r="E206" t="inlineStr">
        <is>
          <t>HÄRJEDALEN</t>
        </is>
      </c>
      <c r="G206" t="n">
        <v>0.1</v>
      </c>
      <c r="H206" t="n">
        <v>0</v>
      </c>
      <c r="I206" t="n">
        <v>0</v>
      </c>
      <c r="J206" t="n">
        <v>0</v>
      </c>
      <c r="K206" t="n">
        <v>0</v>
      </c>
      <c r="L206" t="n">
        <v>0</v>
      </c>
      <c r="M206" t="n">
        <v>0</v>
      </c>
      <c r="N206" t="n">
        <v>0</v>
      </c>
      <c r="O206" t="n">
        <v>0</v>
      </c>
      <c r="P206" t="n">
        <v>0</v>
      </c>
      <c r="Q206" t="n">
        <v>0</v>
      </c>
      <c r="R206" s="2" t="inlineStr"/>
    </row>
    <row r="207" ht="15" customHeight="1">
      <c r="A207" t="inlineStr">
        <is>
          <t>A 3014-2019</t>
        </is>
      </c>
      <c r="B207" s="1" t="n">
        <v>43479</v>
      </c>
      <c r="C207" s="1" t="n">
        <v>45357</v>
      </c>
      <c r="D207" t="inlineStr">
        <is>
          <t>JÄMTLANDS LÄN</t>
        </is>
      </c>
      <c r="E207" t="inlineStr">
        <is>
          <t>HÄRJEDALEN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3531-2019</t>
        </is>
      </c>
      <c r="B208" s="1" t="n">
        <v>43481</v>
      </c>
      <c r="C208" s="1" t="n">
        <v>45357</v>
      </c>
      <c r="D208" t="inlineStr">
        <is>
          <t>JÄMTLANDS LÄN</t>
        </is>
      </c>
      <c r="E208" t="inlineStr">
        <is>
          <t>HÄRJEDALEN</t>
        </is>
      </c>
      <c r="F208" t="inlineStr">
        <is>
          <t>Holmen skog AB</t>
        </is>
      </c>
      <c r="G208" t="n">
        <v>23.2</v>
      </c>
      <c r="H208" t="n">
        <v>0</v>
      </c>
      <c r="I208" t="n">
        <v>0</v>
      </c>
      <c r="J208" t="n">
        <v>0</v>
      </c>
      <c r="K208" t="n">
        <v>0</v>
      </c>
      <c r="L208" t="n">
        <v>0</v>
      </c>
      <c r="M208" t="n">
        <v>0</v>
      </c>
      <c r="N208" t="n">
        <v>0</v>
      </c>
      <c r="O208" t="n">
        <v>0</v>
      </c>
      <c r="P208" t="n">
        <v>0</v>
      </c>
      <c r="Q208" t="n">
        <v>0</v>
      </c>
      <c r="R208" s="2" t="inlineStr"/>
    </row>
    <row r="209" ht="15" customHeight="1">
      <c r="A209" t="inlineStr">
        <is>
          <t>A 3571-2019</t>
        </is>
      </c>
      <c r="B209" s="1" t="n">
        <v>43481</v>
      </c>
      <c r="C209" s="1" t="n">
        <v>45357</v>
      </c>
      <c r="D209" t="inlineStr">
        <is>
          <t>JÄMTLANDS LÄN</t>
        </is>
      </c>
      <c r="E209" t="inlineStr">
        <is>
          <t>HÄRJEDALEN</t>
        </is>
      </c>
      <c r="G209" t="n">
        <v>1.4</v>
      </c>
      <c r="H209" t="n">
        <v>0</v>
      </c>
      <c r="I209" t="n">
        <v>0</v>
      </c>
      <c r="J209" t="n">
        <v>0</v>
      </c>
      <c r="K209" t="n">
        <v>0</v>
      </c>
      <c r="L209" t="n">
        <v>0</v>
      </c>
      <c r="M209" t="n">
        <v>0</v>
      </c>
      <c r="N209" t="n">
        <v>0</v>
      </c>
      <c r="O209" t="n">
        <v>0</v>
      </c>
      <c r="P209" t="n">
        <v>0</v>
      </c>
      <c r="Q209" t="n">
        <v>0</v>
      </c>
      <c r="R209" s="2" t="inlineStr"/>
    </row>
    <row r="210" ht="15" customHeight="1">
      <c r="A210" t="inlineStr">
        <is>
          <t>A 3624-2019</t>
        </is>
      </c>
      <c r="B210" s="1" t="n">
        <v>43481</v>
      </c>
      <c r="C210" s="1" t="n">
        <v>45357</v>
      </c>
      <c r="D210" t="inlineStr">
        <is>
          <t>JÄMTLANDS LÄN</t>
        </is>
      </c>
      <c r="E210" t="inlineStr">
        <is>
          <t>HÄRJEDALEN</t>
        </is>
      </c>
      <c r="F210" t="inlineStr">
        <is>
          <t>Holmen skog AB</t>
        </is>
      </c>
      <c r="G210" t="n">
        <v>6.5</v>
      </c>
      <c r="H210" t="n">
        <v>0</v>
      </c>
      <c r="I210" t="n">
        <v>0</v>
      </c>
      <c r="J210" t="n">
        <v>0</v>
      </c>
      <c r="K210" t="n">
        <v>0</v>
      </c>
      <c r="L210" t="n">
        <v>0</v>
      </c>
      <c r="M210" t="n">
        <v>0</v>
      </c>
      <c r="N210" t="n">
        <v>0</v>
      </c>
      <c r="O210" t="n">
        <v>0</v>
      </c>
      <c r="P210" t="n">
        <v>0</v>
      </c>
      <c r="Q210" t="n">
        <v>0</v>
      </c>
      <c r="R210" s="2" t="inlineStr"/>
    </row>
    <row r="211" ht="15" customHeight="1">
      <c r="A211" t="inlineStr">
        <is>
          <t>A 3785-2019</t>
        </is>
      </c>
      <c r="B211" s="1" t="n">
        <v>43482</v>
      </c>
      <c r="C211" s="1" t="n">
        <v>45357</v>
      </c>
      <c r="D211" t="inlineStr">
        <is>
          <t>JÄMTLANDS LÄN</t>
        </is>
      </c>
      <c r="E211" t="inlineStr">
        <is>
          <t>HÄRJEDALEN</t>
        </is>
      </c>
      <c r="G211" t="n">
        <v>8.1</v>
      </c>
      <c r="H211" t="n">
        <v>0</v>
      </c>
      <c r="I211" t="n">
        <v>0</v>
      </c>
      <c r="J211" t="n">
        <v>0</v>
      </c>
      <c r="K211" t="n">
        <v>0</v>
      </c>
      <c r="L211" t="n">
        <v>0</v>
      </c>
      <c r="M211" t="n">
        <v>0</v>
      </c>
      <c r="N211" t="n">
        <v>0</v>
      </c>
      <c r="O211" t="n">
        <v>0</v>
      </c>
      <c r="P211" t="n">
        <v>0</v>
      </c>
      <c r="Q211" t="n">
        <v>0</v>
      </c>
      <c r="R211" s="2" t="inlineStr"/>
    </row>
    <row r="212" ht="15" customHeight="1">
      <c r="A212" t="inlineStr">
        <is>
          <t>A 3788-2019</t>
        </is>
      </c>
      <c r="B212" s="1" t="n">
        <v>43482</v>
      </c>
      <c r="C212" s="1" t="n">
        <v>45357</v>
      </c>
      <c r="D212" t="inlineStr">
        <is>
          <t>JÄMTLANDS LÄN</t>
        </is>
      </c>
      <c r="E212" t="inlineStr">
        <is>
          <t>HÄRJEDALEN</t>
        </is>
      </c>
      <c r="G212" t="n">
        <v>5.2</v>
      </c>
      <c r="H212" t="n">
        <v>0</v>
      </c>
      <c r="I212" t="n">
        <v>0</v>
      </c>
      <c r="J212" t="n">
        <v>0</v>
      </c>
      <c r="K212" t="n">
        <v>0</v>
      </c>
      <c r="L212" t="n">
        <v>0</v>
      </c>
      <c r="M212" t="n">
        <v>0</v>
      </c>
      <c r="N212" t="n">
        <v>0</v>
      </c>
      <c r="O212" t="n">
        <v>0</v>
      </c>
      <c r="P212" t="n">
        <v>0</v>
      </c>
      <c r="Q212" t="n">
        <v>0</v>
      </c>
      <c r="R212" s="2" t="inlineStr"/>
    </row>
    <row r="213" ht="15" customHeight="1">
      <c r="A213" t="inlineStr">
        <is>
          <t>A 3787-2019</t>
        </is>
      </c>
      <c r="B213" s="1" t="n">
        <v>43482</v>
      </c>
      <c r="C213" s="1" t="n">
        <v>45357</v>
      </c>
      <c r="D213" t="inlineStr">
        <is>
          <t>JÄMTLANDS LÄN</t>
        </is>
      </c>
      <c r="E213" t="inlineStr">
        <is>
          <t>HÄRJEDALEN</t>
        </is>
      </c>
      <c r="G213" t="n">
        <v>7.1</v>
      </c>
      <c r="H213" t="n">
        <v>0</v>
      </c>
      <c r="I213" t="n">
        <v>0</v>
      </c>
      <c r="J213" t="n">
        <v>0</v>
      </c>
      <c r="K213" t="n">
        <v>0</v>
      </c>
      <c r="L213" t="n">
        <v>0</v>
      </c>
      <c r="M213" t="n">
        <v>0</v>
      </c>
      <c r="N213" t="n">
        <v>0</v>
      </c>
      <c r="O213" t="n">
        <v>0</v>
      </c>
      <c r="P213" t="n">
        <v>0</v>
      </c>
      <c r="Q213" t="n">
        <v>0</v>
      </c>
      <c r="R213" s="2" t="inlineStr"/>
    </row>
    <row r="214" ht="15" customHeight="1">
      <c r="A214" t="inlineStr">
        <is>
          <t>A 4359-2019</t>
        </is>
      </c>
      <c r="B214" s="1" t="n">
        <v>43483</v>
      </c>
      <c r="C214" s="1" t="n">
        <v>45357</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4617-2019</t>
        </is>
      </c>
      <c r="B215" s="1" t="n">
        <v>43486</v>
      </c>
      <c r="C215" s="1" t="n">
        <v>45357</v>
      </c>
      <c r="D215" t="inlineStr">
        <is>
          <t>JÄMTLANDS LÄN</t>
        </is>
      </c>
      <c r="E215" t="inlineStr">
        <is>
          <t>HÄRJEDALEN</t>
        </is>
      </c>
      <c r="G215" t="n">
        <v>2.1</v>
      </c>
      <c r="H215" t="n">
        <v>0</v>
      </c>
      <c r="I215" t="n">
        <v>0</v>
      </c>
      <c r="J215" t="n">
        <v>0</v>
      </c>
      <c r="K215" t="n">
        <v>0</v>
      </c>
      <c r="L215" t="n">
        <v>0</v>
      </c>
      <c r="M215" t="n">
        <v>0</v>
      </c>
      <c r="N215" t="n">
        <v>0</v>
      </c>
      <c r="O215" t="n">
        <v>0</v>
      </c>
      <c r="P215" t="n">
        <v>0</v>
      </c>
      <c r="Q215" t="n">
        <v>0</v>
      </c>
      <c r="R215" s="2" t="inlineStr"/>
    </row>
    <row r="216" ht="15" customHeight="1">
      <c r="A216" t="inlineStr">
        <is>
          <t>A 6418-2019</t>
        </is>
      </c>
      <c r="B216" s="1" t="n">
        <v>43486</v>
      </c>
      <c r="C216" s="1" t="n">
        <v>45357</v>
      </c>
      <c r="D216" t="inlineStr">
        <is>
          <t>JÄMTLANDS LÄN</t>
        </is>
      </c>
      <c r="E216" t="inlineStr">
        <is>
          <t>HÄRJEDALEN</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5327-2019</t>
        </is>
      </c>
      <c r="B217" s="1" t="n">
        <v>43488</v>
      </c>
      <c r="C217" s="1" t="n">
        <v>45357</v>
      </c>
      <c r="D217" t="inlineStr">
        <is>
          <t>JÄMTLANDS LÄN</t>
        </is>
      </c>
      <c r="E217" t="inlineStr">
        <is>
          <t>HÄRJEDALEN</t>
        </is>
      </c>
      <c r="F217" t="inlineStr">
        <is>
          <t>Bergvik skog väst AB</t>
        </is>
      </c>
      <c r="G217" t="n">
        <v>5.1</v>
      </c>
      <c r="H217" t="n">
        <v>0</v>
      </c>
      <c r="I217" t="n">
        <v>0</v>
      </c>
      <c r="J217" t="n">
        <v>0</v>
      </c>
      <c r="K217" t="n">
        <v>0</v>
      </c>
      <c r="L217" t="n">
        <v>0</v>
      </c>
      <c r="M217" t="n">
        <v>0</v>
      </c>
      <c r="N217" t="n">
        <v>0</v>
      </c>
      <c r="O217" t="n">
        <v>0</v>
      </c>
      <c r="P217" t="n">
        <v>0</v>
      </c>
      <c r="Q217" t="n">
        <v>0</v>
      </c>
      <c r="R217" s="2" t="inlineStr"/>
    </row>
    <row r="218" ht="15" customHeight="1">
      <c r="A218" t="inlineStr">
        <is>
          <t>A 5663-2019</t>
        </is>
      </c>
      <c r="B218" s="1" t="n">
        <v>43489</v>
      </c>
      <c r="C218" s="1" t="n">
        <v>45357</v>
      </c>
      <c r="D218" t="inlineStr">
        <is>
          <t>JÄMTLANDS LÄN</t>
        </is>
      </c>
      <c r="E218" t="inlineStr">
        <is>
          <t>HÄRJEDALEN</t>
        </is>
      </c>
      <c r="G218" t="n">
        <v>3.2</v>
      </c>
      <c r="H218" t="n">
        <v>0</v>
      </c>
      <c r="I218" t="n">
        <v>0</v>
      </c>
      <c r="J218" t="n">
        <v>0</v>
      </c>
      <c r="K218" t="n">
        <v>0</v>
      </c>
      <c r="L218" t="n">
        <v>0</v>
      </c>
      <c r="M218" t="n">
        <v>0</v>
      </c>
      <c r="N218" t="n">
        <v>0</v>
      </c>
      <c r="O218" t="n">
        <v>0</v>
      </c>
      <c r="P218" t="n">
        <v>0</v>
      </c>
      <c r="Q218" t="n">
        <v>0</v>
      </c>
      <c r="R218" s="2" t="inlineStr"/>
    </row>
    <row r="219" ht="15" customHeight="1">
      <c r="A219" t="inlineStr">
        <is>
          <t>A 5805-2019</t>
        </is>
      </c>
      <c r="B219" s="1" t="n">
        <v>43490</v>
      </c>
      <c r="C219" s="1" t="n">
        <v>45357</v>
      </c>
      <c r="D219" t="inlineStr">
        <is>
          <t>JÄMTLANDS LÄN</t>
        </is>
      </c>
      <c r="E219" t="inlineStr">
        <is>
          <t>HÄRJEDALEN</t>
        </is>
      </c>
      <c r="G219" t="n">
        <v>1.7</v>
      </c>
      <c r="H219" t="n">
        <v>0</v>
      </c>
      <c r="I219" t="n">
        <v>0</v>
      </c>
      <c r="J219" t="n">
        <v>0</v>
      </c>
      <c r="K219" t="n">
        <v>0</v>
      </c>
      <c r="L219" t="n">
        <v>0</v>
      </c>
      <c r="M219" t="n">
        <v>0</v>
      </c>
      <c r="N219" t="n">
        <v>0</v>
      </c>
      <c r="O219" t="n">
        <v>0</v>
      </c>
      <c r="P219" t="n">
        <v>0</v>
      </c>
      <c r="Q219" t="n">
        <v>0</v>
      </c>
      <c r="R219" s="2" t="inlineStr"/>
    </row>
    <row r="220" ht="15" customHeight="1">
      <c r="A220" t="inlineStr">
        <is>
          <t>A 5790-2019</t>
        </is>
      </c>
      <c r="B220" s="1" t="n">
        <v>43490</v>
      </c>
      <c r="C220" s="1" t="n">
        <v>45357</v>
      </c>
      <c r="D220" t="inlineStr">
        <is>
          <t>JÄMTLANDS LÄN</t>
        </is>
      </c>
      <c r="E220" t="inlineStr">
        <is>
          <t>HÄRJEDALEN</t>
        </is>
      </c>
      <c r="G220" t="n">
        <v>1</v>
      </c>
      <c r="H220" t="n">
        <v>0</v>
      </c>
      <c r="I220" t="n">
        <v>0</v>
      </c>
      <c r="J220" t="n">
        <v>0</v>
      </c>
      <c r="K220" t="n">
        <v>0</v>
      </c>
      <c r="L220" t="n">
        <v>0</v>
      </c>
      <c r="M220" t="n">
        <v>0</v>
      </c>
      <c r="N220" t="n">
        <v>0</v>
      </c>
      <c r="O220" t="n">
        <v>0</v>
      </c>
      <c r="P220" t="n">
        <v>0</v>
      </c>
      <c r="Q220" t="n">
        <v>0</v>
      </c>
      <c r="R220" s="2" t="inlineStr"/>
    </row>
    <row r="221" ht="15" customHeight="1">
      <c r="A221" t="inlineStr">
        <is>
          <t>A 5779-2019</t>
        </is>
      </c>
      <c r="B221" s="1" t="n">
        <v>43490</v>
      </c>
      <c r="C221" s="1" t="n">
        <v>45357</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8155-2019</t>
        </is>
      </c>
      <c r="B222" s="1" t="n">
        <v>43495</v>
      </c>
      <c r="C222" s="1" t="n">
        <v>45357</v>
      </c>
      <c r="D222" t="inlineStr">
        <is>
          <t>JÄMTLANDS LÄN</t>
        </is>
      </c>
      <c r="E222" t="inlineStr">
        <is>
          <t>HÄRJEDALEN</t>
        </is>
      </c>
      <c r="G222" t="n">
        <v>16.9</v>
      </c>
      <c r="H222" t="n">
        <v>0</v>
      </c>
      <c r="I222" t="n">
        <v>0</v>
      </c>
      <c r="J222" t="n">
        <v>0</v>
      </c>
      <c r="K222" t="n">
        <v>0</v>
      </c>
      <c r="L222" t="n">
        <v>0</v>
      </c>
      <c r="M222" t="n">
        <v>0</v>
      </c>
      <c r="N222" t="n">
        <v>0</v>
      </c>
      <c r="O222" t="n">
        <v>0</v>
      </c>
      <c r="P222" t="n">
        <v>0</v>
      </c>
      <c r="Q222" t="n">
        <v>0</v>
      </c>
      <c r="R222" s="2" t="inlineStr"/>
    </row>
    <row r="223" ht="15" customHeight="1">
      <c r="A223" t="inlineStr">
        <is>
          <t>A 6886-2019</t>
        </is>
      </c>
      <c r="B223" s="1" t="n">
        <v>43495</v>
      </c>
      <c r="C223" s="1" t="n">
        <v>45357</v>
      </c>
      <c r="D223" t="inlineStr">
        <is>
          <t>JÄMTLANDS LÄN</t>
        </is>
      </c>
      <c r="E223" t="inlineStr">
        <is>
          <t>HÄRJEDALEN</t>
        </is>
      </c>
      <c r="G223" t="n">
        <v>10.4</v>
      </c>
      <c r="H223" t="n">
        <v>0</v>
      </c>
      <c r="I223" t="n">
        <v>0</v>
      </c>
      <c r="J223" t="n">
        <v>0</v>
      </c>
      <c r="K223" t="n">
        <v>0</v>
      </c>
      <c r="L223" t="n">
        <v>0</v>
      </c>
      <c r="M223" t="n">
        <v>0</v>
      </c>
      <c r="N223" t="n">
        <v>0</v>
      </c>
      <c r="O223" t="n">
        <v>0</v>
      </c>
      <c r="P223" t="n">
        <v>0</v>
      </c>
      <c r="Q223" t="n">
        <v>0</v>
      </c>
      <c r="R223" s="2" t="inlineStr"/>
    </row>
    <row r="224" ht="15" customHeight="1">
      <c r="A224" t="inlineStr">
        <is>
          <t>A 7478-2019</t>
        </is>
      </c>
      <c r="B224" s="1" t="n">
        <v>43497</v>
      </c>
      <c r="C224" s="1" t="n">
        <v>45357</v>
      </c>
      <c r="D224" t="inlineStr">
        <is>
          <t>JÄMTLANDS LÄN</t>
        </is>
      </c>
      <c r="E224" t="inlineStr">
        <is>
          <t>HÄRJEDALEN</t>
        </is>
      </c>
      <c r="G224" t="n">
        <v>2.1</v>
      </c>
      <c r="H224" t="n">
        <v>0</v>
      </c>
      <c r="I224" t="n">
        <v>0</v>
      </c>
      <c r="J224" t="n">
        <v>0</v>
      </c>
      <c r="K224" t="n">
        <v>0</v>
      </c>
      <c r="L224" t="n">
        <v>0</v>
      </c>
      <c r="M224" t="n">
        <v>0</v>
      </c>
      <c r="N224" t="n">
        <v>0</v>
      </c>
      <c r="O224" t="n">
        <v>0</v>
      </c>
      <c r="P224" t="n">
        <v>0</v>
      </c>
      <c r="Q224" t="n">
        <v>0</v>
      </c>
      <c r="R224" s="2" t="inlineStr"/>
    </row>
    <row r="225" ht="15" customHeight="1">
      <c r="A225" t="inlineStr">
        <is>
          <t>A 7793-2019</t>
        </is>
      </c>
      <c r="B225" s="1" t="n">
        <v>43500</v>
      </c>
      <c r="C225" s="1" t="n">
        <v>45357</v>
      </c>
      <c r="D225" t="inlineStr">
        <is>
          <t>JÄMTLANDS LÄN</t>
        </is>
      </c>
      <c r="E225" t="inlineStr">
        <is>
          <t>HÄRJEDALEN</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7839-2019</t>
        </is>
      </c>
      <c r="B226" s="1" t="n">
        <v>43500</v>
      </c>
      <c r="C226" s="1" t="n">
        <v>45357</v>
      </c>
      <c r="D226" t="inlineStr">
        <is>
          <t>JÄMTLANDS LÄN</t>
        </is>
      </c>
      <c r="E226" t="inlineStr">
        <is>
          <t>HÄRJEDALEN</t>
        </is>
      </c>
      <c r="F226" t="inlineStr">
        <is>
          <t>Holmen skog AB</t>
        </is>
      </c>
      <c r="G226" t="n">
        <v>43</v>
      </c>
      <c r="H226" t="n">
        <v>0</v>
      </c>
      <c r="I226" t="n">
        <v>0</v>
      </c>
      <c r="J226" t="n">
        <v>0</v>
      </c>
      <c r="K226" t="n">
        <v>0</v>
      </c>
      <c r="L226" t="n">
        <v>0</v>
      </c>
      <c r="M226" t="n">
        <v>0</v>
      </c>
      <c r="N226" t="n">
        <v>0</v>
      </c>
      <c r="O226" t="n">
        <v>0</v>
      </c>
      <c r="P226" t="n">
        <v>0</v>
      </c>
      <c r="Q226" t="n">
        <v>0</v>
      </c>
      <c r="R226" s="2" t="inlineStr"/>
    </row>
    <row r="227" ht="15" customHeight="1">
      <c r="A227" t="inlineStr">
        <is>
          <t>A 7791-2019</t>
        </is>
      </c>
      <c r="B227" s="1" t="n">
        <v>43500</v>
      </c>
      <c r="C227" s="1" t="n">
        <v>45357</v>
      </c>
      <c r="D227" t="inlineStr">
        <is>
          <t>JÄMTLANDS LÄN</t>
        </is>
      </c>
      <c r="E227" t="inlineStr">
        <is>
          <t>HÄRJEDALEN</t>
        </is>
      </c>
      <c r="F227" t="inlineStr">
        <is>
          <t>Holmen skog AB</t>
        </is>
      </c>
      <c r="G227" t="n">
        <v>18.3</v>
      </c>
      <c r="H227" t="n">
        <v>0</v>
      </c>
      <c r="I227" t="n">
        <v>0</v>
      </c>
      <c r="J227" t="n">
        <v>0</v>
      </c>
      <c r="K227" t="n">
        <v>0</v>
      </c>
      <c r="L227" t="n">
        <v>0</v>
      </c>
      <c r="M227" t="n">
        <v>0</v>
      </c>
      <c r="N227" t="n">
        <v>0</v>
      </c>
      <c r="O227" t="n">
        <v>0</v>
      </c>
      <c r="P227" t="n">
        <v>0</v>
      </c>
      <c r="Q227" t="n">
        <v>0</v>
      </c>
      <c r="R227" s="2" t="inlineStr"/>
    </row>
    <row r="228" ht="15" customHeight="1">
      <c r="A228" t="inlineStr">
        <is>
          <t>A 7840-2019</t>
        </is>
      </c>
      <c r="B228" s="1" t="n">
        <v>43500</v>
      </c>
      <c r="C228" s="1" t="n">
        <v>45357</v>
      </c>
      <c r="D228" t="inlineStr">
        <is>
          <t>JÄMTLANDS LÄN</t>
        </is>
      </c>
      <c r="E228" t="inlineStr">
        <is>
          <t>HÄRJEDALEN</t>
        </is>
      </c>
      <c r="F228" t="inlineStr">
        <is>
          <t>Holmen skog AB</t>
        </is>
      </c>
      <c r="G228" t="n">
        <v>0.5</v>
      </c>
      <c r="H228" t="n">
        <v>0</v>
      </c>
      <c r="I228" t="n">
        <v>0</v>
      </c>
      <c r="J228" t="n">
        <v>0</v>
      </c>
      <c r="K228" t="n">
        <v>0</v>
      </c>
      <c r="L228" t="n">
        <v>0</v>
      </c>
      <c r="M228" t="n">
        <v>0</v>
      </c>
      <c r="N228" t="n">
        <v>0</v>
      </c>
      <c r="O228" t="n">
        <v>0</v>
      </c>
      <c r="P228" t="n">
        <v>0</v>
      </c>
      <c r="Q228" t="n">
        <v>0</v>
      </c>
      <c r="R228" s="2" t="inlineStr"/>
    </row>
    <row r="229" ht="15" customHeight="1">
      <c r="A229" t="inlineStr">
        <is>
          <t>A 7790-2019</t>
        </is>
      </c>
      <c r="B229" s="1" t="n">
        <v>43500</v>
      </c>
      <c r="C229" s="1" t="n">
        <v>45357</v>
      </c>
      <c r="D229" t="inlineStr">
        <is>
          <t>JÄMTLANDS LÄN</t>
        </is>
      </c>
      <c r="E229" t="inlineStr">
        <is>
          <t>HÄRJEDALEN</t>
        </is>
      </c>
      <c r="F229" t="inlineStr">
        <is>
          <t>Holmen skog AB</t>
        </is>
      </c>
      <c r="G229" t="n">
        <v>7.9</v>
      </c>
      <c r="H229" t="n">
        <v>0</v>
      </c>
      <c r="I229" t="n">
        <v>0</v>
      </c>
      <c r="J229" t="n">
        <v>0</v>
      </c>
      <c r="K229" t="n">
        <v>0</v>
      </c>
      <c r="L229" t="n">
        <v>0</v>
      </c>
      <c r="M229" t="n">
        <v>0</v>
      </c>
      <c r="N229" t="n">
        <v>0</v>
      </c>
      <c r="O229" t="n">
        <v>0</v>
      </c>
      <c r="P229" t="n">
        <v>0</v>
      </c>
      <c r="Q229" t="n">
        <v>0</v>
      </c>
      <c r="R229" s="2" t="inlineStr"/>
    </row>
    <row r="230" ht="15" customHeight="1">
      <c r="A230" t="inlineStr">
        <is>
          <t>A 7853-2019</t>
        </is>
      </c>
      <c r="B230" s="1" t="n">
        <v>43500</v>
      </c>
      <c r="C230" s="1" t="n">
        <v>45357</v>
      </c>
      <c r="D230" t="inlineStr">
        <is>
          <t>JÄMTLANDS LÄN</t>
        </is>
      </c>
      <c r="E230" t="inlineStr">
        <is>
          <t>HÄRJEDALEN</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9236-2019</t>
        </is>
      </c>
      <c r="B231" s="1" t="n">
        <v>43507</v>
      </c>
      <c r="C231" s="1" t="n">
        <v>45357</v>
      </c>
      <c r="D231" t="inlineStr">
        <is>
          <t>JÄMTLANDS LÄN</t>
        </is>
      </c>
      <c r="E231" t="inlineStr">
        <is>
          <t>HÄRJEDALEN</t>
        </is>
      </c>
      <c r="F231" t="inlineStr">
        <is>
          <t>Bergvik skog väst AB</t>
        </is>
      </c>
      <c r="G231" t="n">
        <v>23.2</v>
      </c>
      <c r="H231" t="n">
        <v>0</v>
      </c>
      <c r="I231" t="n">
        <v>0</v>
      </c>
      <c r="J231" t="n">
        <v>0</v>
      </c>
      <c r="K231" t="n">
        <v>0</v>
      </c>
      <c r="L231" t="n">
        <v>0</v>
      </c>
      <c r="M231" t="n">
        <v>0</v>
      </c>
      <c r="N231" t="n">
        <v>0</v>
      </c>
      <c r="O231" t="n">
        <v>0</v>
      </c>
      <c r="P231" t="n">
        <v>0</v>
      </c>
      <c r="Q231" t="n">
        <v>0</v>
      </c>
      <c r="R231" s="2" t="inlineStr"/>
    </row>
    <row r="232" ht="15" customHeight="1">
      <c r="A232" t="inlineStr">
        <is>
          <t>A 9670-2019</t>
        </is>
      </c>
      <c r="B232" s="1" t="n">
        <v>43508</v>
      </c>
      <c r="C232" s="1" t="n">
        <v>45357</v>
      </c>
      <c r="D232" t="inlineStr">
        <is>
          <t>JÄMTLANDS LÄN</t>
        </is>
      </c>
      <c r="E232" t="inlineStr">
        <is>
          <t>HÄRJEDALEN</t>
        </is>
      </c>
      <c r="G232" t="n">
        <v>34.2</v>
      </c>
      <c r="H232" t="n">
        <v>0</v>
      </c>
      <c r="I232" t="n">
        <v>0</v>
      </c>
      <c r="J232" t="n">
        <v>0</v>
      </c>
      <c r="K232" t="n">
        <v>0</v>
      </c>
      <c r="L232" t="n">
        <v>0</v>
      </c>
      <c r="M232" t="n">
        <v>0</v>
      </c>
      <c r="N232" t="n">
        <v>0</v>
      </c>
      <c r="O232" t="n">
        <v>0</v>
      </c>
      <c r="P232" t="n">
        <v>0</v>
      </c>
      <c r="Q232" t="n">
        <v>0</v>
      </c>
      <c r="R232" s="2" t="inlineStr"/>
    </row>
    <row r="233" ht="15" customHeight="1">
      <c r="A233" t="inlineStr">
        <is>
          <t>A 10139-2019</t>
        </is>
      </c>
      <c r="B233" s="1" t="n">
        <v>43510</v>
      </c>
      <c r="C233" s="1" t="n">
        <v>45357</v>
      </c>
      <c r="D233" t="inlineStr">
        <is>
          <t>JÄMTLANDS LÄN</t>
        </is>
      </c>
      <c r="E233" t="inlineStr">
        <is>
          <t>HÄRJEDALEN</t>
        </is>
      </c>
      <c r="G233" t="n">
        <v>2.4</v>
      </c>
      <c r="H233" t="n">
        <v>0</v>
      </c>
      <c r="I233" t="n">
        <v>0</v>
      </c>
      <c r="J233" t="n">
        <v>0</v>
      </c>
      <c r="K233" t="n">
        <v>0</v>
      </c>
      <c r="L233" t="n">
        <v>0</v>
      </c>
      <c r="M233" t="n">
        <v>0</v>
      </c>
      <c r="N233" t="n">
        <v>0</v>
      </c>
      <c r="O233" t="n">
        <v>0</v>
      </c>
      <c r="P233" t="n">
        <v>0</v>
      </c>
      <c r="Q233" t="n">
        <v>0</v>
      </c>
      <c r="R233" s="2" t="inlineStr"/>
    </row>
    <row r="234" ht="15" customHeight="1">
      <c r="A234" t="inlineStr">
        <is>
          <t>A 12151-2019</t>
        </is>
      </c>
      <c r="B234" s="1" t="n">
        <v>43522</v>
      </c>
      <c r="C234" s="1" t="n">
        <v>45357</v>
      </c>
      <c r="D234" t="inlineStr">
        <is>
          <t>JÄMTLANDS LÄN</t>
        </is>
      </c>
      <c r="E234" t="inlineStr">
        <is>
          <t>HÄRJEDALEN</t>
        </is>
      </c>
      <c r="G234" t="n">
        <v>5.6</v>
      </c>
      <c r="H234" t="n">
        <v>0</v>
      </c>
      <c r="I234" t="n">
        <v>0</v>
      </c>
      <c r="J234" t="n">
        <v>0</v>
      </c>
      <c r="K234" t="n">
        <v>0</v>
      </c>
      <c r="L234" t="n">
        <v>0</v>
      </c>
      <c r="M234" t="n">
        <v>0</v>
      </c>
      <c r="N234" t="n">
        <v>0</v>
      </c>
      <c r="O234" t="n">
        <v>0</v>
      </c>
      <c r="P234" t="n">
        <v>0</v>
      </c>
      <c r="Q234" t="n">
        <v>0</v>
      </c>
      <c r="R234" s="2" t="inlineStr"/>
    </row>
    <row r="235" ht="15" customHeight="1">
      <c r="A235" t="inlineStr">
        <is>
          <t>A 12149-2019</t>
        </is>
      </c>
      <c r="B235" s="1" t="n">
        <v>43522</v>
      </c>
      <c r="C235" s="1" t="n">
        <v>45357</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12822-2019</t>
        </is>
      </c>
      <c r="B236" s="1" t="n">
        <v>43525</v>
      </c>
      <c r="C236" s="1" t="n">
        <v>45357</v>
      </c>
      <c r="D236" t="inlineStr">
        <is>
          <t>JÄMTLANDS LÄN</t>
        </is>
      </c>
      <c r="E236" t="inlineStr">
        <is>
          <t>HÄRJEDALEN</t>
        </is>
      </c>
      <c r="G236" t="n">
        <v>17.1</v>
      </c>
      <c r="H236" t="n">
        <v>0</v>
      </c>
      <c r="I236" t="n">
        <v>0</v>
      </c>
      <c r="J236" t="n">
        <v>0</v>
      </c>
      <c r="K236" t="n">
        <v>0</v>
      </c>
      <c r="L236" t="n">
        <v>0</v>
      </c>
      <c r="M236" t="n">
        <v>0</v>
      </c>
      <c r="N236" t="n">
        <v>0</v>
      </c>
      <c r="O236" t="n">
        <v>0</v>
      </c>
      <c r="P236" t="n">
        <v>0</v>
      </c>
      <c r="Q236" t="n">
        <v>0</v>
      </c>
      <c r="R236" s="2" t="inlineStr"/>
    </row>
    <row r="237" ht="15" customHeight="1">
      <c r="A237" t="inlineStr">
        <is>
          <t>A 12829-2019</t>
        </is>
      </c>
      <c r="B237" s="1" t="n">
        <v>43525</v>
      </c>
      <c r="C237" s="1" t="n">
        <v>45357</v>
      </c>
      <c r="D237" t="inlineStr">
        <is>
          <t>JÄMTLANDS LÄN</t>
        </is>
      </c>
      <c r="E237" t="inlineStr">
        <is>
          <t>HÄRJEDALEN</t>
        </is>
      </c>
      <c r="G237" t="n">
        <v>20.6</v>
      </c>
      <c r="H237" t="n">
        <v>0</v>
      </c>
      <c r="I237" t="n">
        <v>0</v>
      </c>
      <c r="J237" t="n">
        <v>0</v>
      </c>
      <c r="K237" t="n">
        <v>0</v>
      </c>
      <c r="L237" t="n">
        <v>0</v>
      </c>
      <c r="M237" t="n">
        <v>0</v>
      </c>
      <c r="N237" t="n">
        <v>0</v>
      </c>
      <c r="O237" t="n">
        <v>0</v>
      </c>
      <c r="P237" t="n">
        <v>0</v>
      </c>
      <c r="Q237" t="n">
        <v>0</v>
      </c>
      <c r="R237" s="2" t="inlineStr"/>
    </row>
    <row r="238" ht="15" customHeight="1">
      <c r="A238" t="inlineStr">
        <is>
          <t>A 12825-2019</t>
        </is>
      </c>
      <c r="B238" s="1" t="n">
        <v>43525</v>
      </c>
      <c r="C238" s="1" t="n">
        <v>45357</v>
      </c>
      <c r="D238" t="inlineStr">
        <is>
          <t>JÄMTLANDS LÄN</t>
        </is>
      </c>
      <c r="E238" t="inlineStr">
        <is>
          <t>HÄRJEDALEN</t>
        </is>
      </c>
      <c r="G238" t="n">
        <v>19.6</v>
      </c>
      <c r="H238" t="n">
        <v>0</v>
      </c>
      <c r="I238" t="n">
        <v>0</v>
      </c>
      <c r="J238" t="n">
        <v>0</v>
      </c>
      <c r="K238" t="n">
        <v>0</v>
      </c>
      <c r="L238" t="n">
        <v>0</v>
      </c>
      <c r="M238" t="n">
        <v>0</v>
      </c>
      <c r="N238" t="n">
        <v>0</v>
      </c>
      <c r="O238" t="n">
        <v>0</v>
      </c>
      <c r="P238" t="n">
        <v>0</v>
      </c>
      <c r="Q238" t="n">
        <v>0</v>
      </c>
      <c r="R238" s="2" t="inlineStr"/>
    </row>
    <row r="239" ht="15" customHeight="1">
      <c r="A239" t="inlineStr">
        <is>
          <t>A 12764-2019</t>
        </is>
      </c>
      <c r="B239" s="1" t="n">
        <v>43525</v>
      </c>
      <c r="C239" s="1" t="n">
        <v>45357</v>
      </c>
      <c r="D239" t="inlineStr">
        <is>
          <t>JÄMTLANDS LÄN</t>
        </is>
      </c>
      <c r="E239" t="inlineStr">
        <is>
          <t>HÄRJEDALEN</t>
        </is>
      </c>
      <c r="F239" t="inlineStr">
        <is>
          <t>Kyrkan</t>
        </is>
      </c>
      <c r="G239" t="n">
        <v>19.2</v>
      </c>
      <c r="H239" t="n">
        <v>0</v>
      </c>
      <c r="I239" t="n">
        <v>0</v>
      </c>
      <c r="J239" t="n">
        <v>0</v>
      </c>
      <c r="K239" t="n">
        <v>0</v>
      </c>
      <c r="L239" t="n">
        <v>0</v>
      </c>
      <c r="M239" t="n">
        <v>0</v>
      </c>
      <c r="N239" t="n">
        <v>0</v>
      </c>
      <c r="O239" t="n">
        <v>0</v>
      </c>
      <c r="P239" t="n">
        <v>0</v>
      </c>
      <c r="Q239" t="n">
        <v>0</v>
      </c>
      <c r="R239" s="2" t="inlineStr"/>
    </row>
    <row r="240" ht="15" customHeight="1">
      <c r="A240" t="inlineStr">
        <is>
          <t>A 13202-2019</t>
        </is>
      </c>
      <c r="B240" s="1" t="n">
        <v>43528</v>
      </c>
      <c r="C240" s="1" t="n">
        <v>45357</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13182-2019</t>
        </is>
      </c>
      <c r="B241" s="1" t="n">
        <v>43528</v>
      </c>
      <c r="C241" s="1" t="n">
        <v>45357</v>
      </c>
      <c r="D241" t="inlineStr">
        <is>
          <t>JÄMTLANDS LÄN</t>
        </is>
      </c>
      <c r="E241" t="inlineStr">
        <is>
          <t>HÄRJEDALEN</t>
        </is>
      </c>
      <c r="G241" t="n">
        <v>1.3</v>
      </c>
      <c r="H241" t="n">
        <v>0</v>
      </c>
      <c r="I241" t="n">
        <v>0</v>
      </c>
      <c r="J241" t="n">
        <v>0</v>
      </c>
      <c r="K241" t="n">
        <v>0</v>
      </c>
      <c r="L241" t="n">
        <v>0</v>
      </c>
      <c r="M241" t="n">
        <v>0</v>
      </c>
      <c r="N241" t="n">
        <v>0</v>
      </c>
      <c r="O241" t="n">
        <v>0</v>
      </c>
      <c r="P241" t="n">
        <v>0</v>
      </c>
      <c r="Q241" t="n">
        <v>0</v>
      </c>
      <c r="R241" s="2" t="inlineStr"/>
    </row>
    <row r="242" ht="15" customHeight="1">
      <c r="A242" t="inlineStr">
        <is>
          <t>A 14268-2019</t>
        </is>
      </c>
      <c r="B242" s="1" t="n">
        <v>43535</v>
      </c>
      <c r="C242" s="1" t="n">
        <v>45357</v>
      </c>
      <c r="D242" t="inlineStr">
        <is>
          <t>JÄMTLANDS LÄN</t>
        </is>
      </c>
      <c r="E242" t="inlineStr">
        <is>
          <t>HÄRJEDALEN</t>
        </is>
      </c>
      <c r="G242" t="n">
        <v>20.2</v>
      </c>
      <c r="H242" t="n">
        <v>0</v>
      </c>
      <c r="I242" t="n">
        <v>0</v>
      </c>
      <c r="J242" t="n">
        <v>0</v>
      </c>
      <c r="K242" t="n">
        <v>0</v>
      </c>
      <c r="L242" t="n">
        <v>0</v>
      </c>
      <c r="M242" t="n">
        <v>0</v>
      </c>
      <c r="N242" t="n">
        <v>0</v>
      </c>
      <c r="O242" t="n">
        <v>0</v>
      </c>
      <c r="P242" t="n">
        <v>0</v>
      </c>
      <c r="Q242" t="n">
        <v>0</v>
      </c>
      <c r="R242" s="2" t="inlineStr"/>
    </row>
    <row r="243" ht="15" customHeight="1">
      <c r="A243" t="inlineStr">
        <is>
          <t>A 15617-2019</t>
        </is>
      </c>
      <c r="B243" s="1" t="n">
        <v>43539</v>
      </c>
      <c r="C243" s="1" t="n">
        <v>45357</v>
      </c>
      <c r="D243" t="inlineStr">
        <is>
          <t>JÄMTLANDS LÄN</t>
        </is>
      </c>
      <c r="E243" t="inlineStr">
        <is>
          <t>HÄRJEDALEN</t>
        </is>
      </c>
      <c r="G243" t="n">
        <v>1.7</v>
      </c>
      <c r="H243" t="n">
        <v>0</v>
      </c>
      <c r="I243" t="n">
        <v>0</v>
      </c>
      <c r="J243" t="n">
        <v>0</v>
      </c>
      <c r="K243" t="n">
        <v>0</v>
      </c>
      <c r="L243" t="n">
        <v>0</v>
      </c>
      <c r="M243" t="n">
        <v>0</v>
      </c>
      <c r="N243" t="n">
        <v>0</v>
      </c>
      <c r="O243" t="n">
        <v>0</v>
      </c>
      <c r="P243" t="n">
        <v>0</v>
      </c>
      <c r="Q243" t="n">
        <v>0</v>
      </c>
      <c r="R243" s="2" t="inlineStr"/>
    </row>
    <row r="244" ht="15" customHeight="1">
      <c r="A244" t="inlineStr">
        <is>
          <t>A 15557-2019</t>
        </is>
      </c>
      <c r="B244" s="1" t="n">
        <v>43542</v>
      </c>
      <c r="C244" s="1" t="n">
        <v>45357</v>
      </c>
      <c r="D244" t="inlineStr">
        <is>
          <t>JÄMTLANDS LÄN</t>
        </is>
      </c>
      <c r="E244" t="inlineStr">
        <is>
          <t>HÄRJEDALEN</t>
        </is>
      </c>
      <c r="G244" t="n">
        <v>5.9</v>
      </c>
      <c r="H244" t="n">
        <v>0</v>
      </c>
      <c r="I244" t="n">
        <v>0</v>
      </c>
      <c r="J244" t="n">
        <v>0</v>
      </c>
      <c r="K244" t="n">
        <v>0</v>
      </c>
      <c r="L244" t="n">
        <v>0</v>
      </c>
      <c r="M244" t="n">
        <v>0</v>
      </c>
      <c r="N244" t="n">
        <v>0</v>
      </c>
      <c r="O244" t="n">
        <v>0</v>
      </c>
      <c r="P244" t="n">
        <v>0</v>
      </c>
      <c r="Q244" t="n">
        <v>0</v>
      </c>
      <c r="R244" s="2" t="inlineStr"/>
    </row>
    <row r="245" ht="15" customHeight="1">
      <c r="A245" t="inlineStr">
        <is>
          <t>A 16004-2019</t>
        </is>
      </c>
      <c r="B245" s="1" t="n">
        <v>43543</v>
      </c>
      <c r="C245" s="1" t="n">
        <v>45357</v>
      </c>
      <c r="D245" t="inlineStr">
        <is>
          <t>JÄMTLANDS LÄN</t>
        </is>
      </c>
      <c r="E245" t="inlineStr">
        <is>
          <t>HÄRJEDALEN</t>
        </is>
      </c>
      <c r="G245" t="n">
        <v>19.7</v>
      </c>
      <c r="H245" t="n">
        <v>0</v>
      </c>
      <c r="I245" t="n">
        <v>0</v>
      </c>
      <c r="J245" t="n">
        <v>0</v>
      </c>
      <c r="K245" t="n">
        <v>0</v>
      </c>
      <c r="L245" t="n">
        <v>0</v>
      </c>
      <c r="M245" t="n">
        <v>0</v>
      </c>
      <c r="N245" t="n">
        <v>0</v>
      </c>
      <c r="O245" t="n">
        <v>0</v>
      </c>
      <c r="P245" t="n">
        <v>0</v>
      </c>
      <c r="Q245" t="n">
        <v>0</v>
      </c>
      <c r="R245" s="2" t="inlineStr"/>
    </row>
    <row r="246" ht="15" customHeight="1">
      <c r="A246" t="inlineStr">
        <is>
          <t>A 16062-2019</t>
        </is>
      </c>
      <c r="B246" s="1" t="n">
        <v>43544</v>
      </c>
      <c r="C246" s="1" t="n">
        <v>45357</v>
      </c>
      <c r="D246" t="inlineStr">
        <is>
          <t>JÄMTLANDS LÄN</t>
        </is>
      </c>
      <c r="E246" t="inlineStr">
        <is>
          <t>HÄRJEDALEN</t>
        </is>
      </c>
      <c r="G246" t="n">
        <v>18.4</v>
      </c>
      <c r="H246" t="n">
        <v>0</v>
      </c>
      <c r="I246" t="n">
        <v>0</v>
      </c>
      <c r="J246" t="n">
        <v>0</v>
      </c>
      <c r="K246" t="n">
        <v>0</v>
      </c>
      <c r="L246" t="n">
        <v>0</v>
      </c>
      <c r="M246" t="n">
        <v>0</v>
      </c>
      <c r="N246" t="n">
        <v>0</v>
      </c>
      <c r="O246" t="n">
        <v>0</v>
      </c>
      <c r="P246" t="n">
        <v>0</v>
      </c>
      <c r="Q246" t="n">
        <v>0</v>
      </c>
      <c r="R246" s="2" t="inlineStr"/>
    </row>
    <row r="247" ht="15" customHeight="1">
      <c r="A247" t="inlineStr">
        <is>
          <t>A 17528-2019</t>
        </is>
      </c>
      <c r="B247" s="1" t="n">
        <v>43553</v>
      </c>
      <c r="C247" s="1" t="n">
        <v>45357</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17811-2019</t>
        </is>
      </c>
      <c r="B248" s="1" t="n">
        <v>43556</v>
      </c>
      <c r="C248" s="1" t="n">
        <v>45357</v>
      </c>
      <c r="D248" t="inlineStr">
        <is>
          <t>JÄMTLANDS LÄN</t>
        </is>
      </c>
      <c r="E248" t="inlineStr">
        <is>
          <t>HÄRJEDALEN</t>
        </is>
      </c>
      <c r="G248" t="n">
        <v>10.3</v>
      </c>
      <c r="H248" t="n">
        <v>0</v>
      </c>
      <c r="I248" t="n">
        <v>0</v>
      </c>
      <c r="J248" t="n">
        <v>0</v>
      </c>
      <c r="K248" t="n">
        <v>0</v>
      </c>
      <c r="L248" t="n">
        <v>0</v>
      </c>
      <c r="M248" t="n">
        <v>0</v>
      </c>
      <c r="N248" t="n">
        <v>0</v>
      </c>
      <c r="O248" t="n">
        <v>0</v>
      </c>
      <c r="P248" t="n">
        <v>0</v>
      </c>
      <c r="Q248" t="n">
        <v>0</v>
      </c>
      <c r="R248" s="2" t="inlineStr"/>
    </row>
    <row r="249" ht="15" customHeight="1">
      <c r="A249" t="inlineStr">
        <is>
          <t>A 17986-2019</t>
        </is>
      </c>
      <c r="B249" s="1" t="n">
        <v>43557</v>
      </c>
      <c r="C249" s="1" t="n">
        <v>45357</v>
      </c>
      <c r="D249" t="inlineStr">
        <is>
          <t>JÄMTLANDS LÄN</t>
        </is>
      </c>
      <c r="E249" t="inlineStr">
        <is>
          <t>HÄRJEDALEN</t>
        </is>
      </c>
      <c r="F249" t="inlineStr">
        <is>
          <t>Kyrkan</t>
        </is>
      </c>
      <c r="G249" t="n">
        <v>17.5</v>
      </c>
      <c r="H249" t="n">
        <v>0</v>
      </c>
      <c r="I249" t="n">
        <v>0</v>
      </c>
      <c r="J249" t="n">
        <v>0</v>
      </c>
      <c r="K249" t="n">
        <v>0</v>
      </c>
      <c r="L249" t="n">
        <v>0</v>
      </c>
      <c r="M249" t="n">
        <v>0</v>
      </c>
      <c r="N249" t="n">
        <v>0</v>
      </c>
      <c r="O249" t="n">
        <v>0</v>
      </c>
      <c r="P249" t="n">
        <v>0</v>
      </c>
      <c r="Q249" t="n">
        <v>0</v>
      </c>
      <c r="R249" s="2" t="inlineStr"/>
    </row>
    <row r="250" ht="15" customHeight="1">
      <c r="A250" t="inlineStr">
        <is>
          <t>A 17917-2019</t>
        </is>
      </c>
      <c r="B250" s="1" t="n">
        <v>43557</v>
      </c>
      <c r="C250" s="1" t="n">
        <v>45357</v>
      </c>
      <c r="D250" t="inlineStr">
        <is>
          <t>JÄMTLANDS LÄN</t>
        </is>
      </c>
      <c r="E250" t="inlineStr">
        <is>
          <t>HÄRJEDALEN</t>
        </is>
      </c>
      <c r="F250" t="inlineStr">
        <is>
          <t>Bergvik skog väst AB</t>
        </is>
      </c>
      <c r="G250" t="n">
        <v>166.3</v>
      </c>
      <c r="H250" t="n">
        <v>0</v>
      </c>
      <c r="I250" t="n">
        <v>0</v>
      </c>
      <c r="J250" t="n">
        <v>0</v>
      </c>
      <c r="K250" t="n">
        <v>0</v>
      </c>
      <c r="L250" t="n">
        <v>0</v>
      </c>
      <c r="M250" t="n">
        <v>0</v>
      </c>
      <c r="N250" t="n">
        <v>0</v>
      </c>
      <c r="O250" t="n">
        <v>0</v>
      </c>
      <c r="P250" t="n">
        <v>0</v>
      </c>
      <c r="Q250" t="n">
        <v>0</v>
      </c>
      <c r="R250" s="2" t="inlineStr"/>
    </row>
    <row r="251" ht="15" customHeight="1">
      <c r="A251" t="inlineStr">
        <is>
          <t>A 18539-2019</t>
        </is>
      </c>
      <c r="B251" s="1" t="n">
        <v>43559</v>
      </c>
      <c r="C251" s="1" t="n">
        <v>45357</v>
      </c>
      <c r="D251" t="inlineStr">
        <is>
          <t>JÄMTLANDS LÄN</t>
        </is>
      </c>
      <c r="E251" t="inlineStr">
        <is>
          <t>HÄRJEDALEN</t>
        </is>
      </c>
      <c r="G251" t="n">
        <v>1.7</v>
      </c>
      <c r="H251" t="n">
        <v>0</v>
      </c>
      <c r="I251" t="n">
        <v>0</v>
      </c>
      <c r="J251" t="n">
        <v>0</v>
      </c>
      <c r="K251" t="n">
        <v>0</v>
      </c>
      <c r="L251" t="n">
        <v>0</v>
      </c>
      <c r="M251" t="n">
        <v>0</v>
      </c>
      <c r="N251" t="n">
        <v>0</v>
      </c>
      <c r="O251" t="n">
        <v>0</v>
      </c>
      <c r="P251" t="n">
        <v>0</v>
      </c>
      <c r="Q251" t="n">
        <v>0</v>
      </c>
      <c r="R251" s="2" t="inlineStr"/>
    </row>
    <row r="252" ht="15" customHeight="1">
      <c r="A252" t="inlineStr">
        <is>
          <t>A 18648-2019</t>
        </is>
      </c>
      <c r="B252" s="1" t="n">
        <v>43560</v>
      </c>
      <c r="C252" s="1" t="n">
        <v>45357</v>
      </c>
      <c r="D252" t="inlineStr">
        <is>
          <t>JÄMTLANDS LÄN</t>
        </is>
      </c>
      <c r="E252" t="inlineStr">
        <is>
          <t>HÄRJEDALEN</t>
        </is>
      </c>
      <c r="G252" t="n">
        <v>5.5</v>
      </c>
      <c r="H252" t="n">
        <v>0</v>
      </c>
      <c r="I252" t="n">
        <v>0</v>
      </c>
      <c r="J252" t="n">
        <v>0</v>
      </c>
      <c r="K252" t="n">
        <v>0</v>
      </c>
      <c r="L252" t="n">
        <v>0</v>
      </c>
      <c r="M252" t="n">
        <v>0</v>
      </c>
      <c r="N252" t="n">
        <v>0</v>
      </c>
      <c r="O252" t="n">
        <v>0</v>
      </c>
      <c r="P252" t="n">
        <v>0</v>
      </c>
      <c r="Q252" t="n">
        <v>0</v>
      </c>
      <c r="R252" s="2" t="inlineStr"/>
    </row>
    <row r="253" ht="15" customHeight="1">
      <c r="A253" t="inlineStr">
        <is>
          <t>A 19114-2019</t>
        </is>
      </c>
      <c r="B253" s="1" t="n">
        <v>43563</v>
      </c>
      <c r="C253" s="1" t="n">
        <v>45357</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20063-2019</t>
        </is>
      </c>
      <c r="B254" s="1" t="n">
        <v>43567</v>
      </c>
      <c r="C254" s="1" t="n">
        <v>45357</v>
      </c>
      <c r="D254" t="inlineStr">
        <is>
          <t>JÄMTLANDS LÄN</t>
        </is>
      </c>
      <c r="E254" t="inlineStr">
        <is>
          <t>HÄRJEDALEN</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19864-2019</t>
        </is>
      </c>
      <c r="B255" s="1" t="n">
        <v>43567</v>
      </c>
      <c r="C255" s="1" t="n">
        <v>45357</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20403-2019</t>
        </is>
      </c>
      <c r="B256" s="1" t="n">
        <v>43571</v>
      </c>
      <c r="C256" s="1" t="n">
        <v>45357</v>
      </c>
      <c r="D256" t="inlineStr">
        <is>
          <t>JÄMTLANDS LÄN</t>
        </is>
      </c>
      <c r="E256" t="inlineStr">
        <is>
          <t>HÄRJEDALEN</t>
        </is>
      </c>
      <c r="F256" t="inlineStr">
        <is>
          <t>Bergvik skog väst AB</t>
        </is>
      </c>
      <c r="G256" t="n">
        <v>7.8</v>
      </c>
      <c r="H256" t="n">
        <v>0</v>
      </c>
      <c r="I256" t="n">
        <v>0</v>
      </c>
      <c r="J256" t="n">
        <v>0</v>
      </c>
      <c r="K256" t="n">
        <v>0</v>
      </c>
      <c r="L256" t="n">
        <v>0</v>
      </c>
      <c r="M256" t="n">
        <v>0</v>
      </c>
      <c r="N256" t="n">
        <v>0</v>
      </c>
      <c r="O256" t="n">
        <v>0</v>
      </c>
      <c r="P256" t="n">
        <v>0</v>
      </c>
      <c r="Q256" t="n">
        <v>0</v>
      </c>
      <c r="R256" s="2" t="inlineStr"/>
    </row>
    <row r="257" ht="15" customHeight="1">
      <c r="A257" t="inlineStr">
        <is>
          <t>A 20373-2019</t>
        </is>
      </c>
      <c r="B257" s="1" t="n">
        <v>43571</v>
      </c>
      <c r="C257" s="1" t="n">
        <v>45357</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20851-2019</t>
        </is>
      </c>
      <c r="B258" s="1" t="n">
        <v>43577</v>
      </c>
      <c r="C258" s="1" t="n">
        <v>45357</v>
      </c>
      <c r="D258" t="inlineStr">
        <is>
          <t>JÄMTLANDS LÄN</t>
        </is>
      </c>
      <c r="E258" t="inlineStr">
        <is>
          <t>HÄRJEDALEN</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21040-2019</t>
        </is>
      </c>
      <c r="B259" s="1" t="n">
        <v>43578</v>
      </c>
      <c r="C259" s="1" t="n">
        <v>45357</v>
      </c>
      <c r="D259" t="inlineStr">
        <is>
          <t>JÄMTLANDS LÄN</t>
        </is>
      </c>
      <c r="E259" t="inlineStr">
        <is>
          <t>HÄRJEDALEN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21189-2019</t>
        </is>
      </c>
      <c r="B260" s="1" t="n">
        <v>43579</v>
      </c>
      <c r="C260" s="1" t="n">
        <v>45357</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22622-2019</t>
        </is>
      </c>
      <c r="B261" s="1" t="n">
        <v>43588</v>
      </c>
      <c r="C261" s="1" t="n">
        <v>45357</v>
      </c>
      <c r="D261" t="inlineStr">
        <is>
          <t>JÄMTLANDS LÄN</t>
        </is>
      </c>
      <c r="E261" t="inlineStr">
        <is>
          <t>HÄRJEDALEN</t>
        </is>
      </c>
      <c r="G261" t="n">
        <v>1.5</v>
      </c>
      <c r="H261" t="n">
        <v>0</v>
      </c>
      <c r="I261" t="n">
        <v>0</v>
      </c>
      <c r="J261" t="n">
        <v>0</v>
      </c>
      <c r="K261" t="n">
        <v>0</v>
      </c>
      <c r="L261" t="n">
        <v>0</v>
      </c>
      <c r="M261" t="n">
        <v>0</v>
      </c>
      <c r="N261" t="n">
        <v>0</v>
      </c>
      <c r="O261" t="n">
        <v>0</v>
      </c>
      <c r="P261" t="n">
        <v>0</v>
      </c>
      <c r="Q261" t="n">
        <v>0</v>
      </c>
      <c r="R261" s="2" t="inlineStr"/>
    </row>
    <row r="262" ht="15" customHeight="1">
      <c r="A262" t="inlineStr">
        <is>
          <t>A 24030-2019</t>
        </is>
      </c>
      <c r="B262" s="1" t="n">
        <v>43598</v>
      </c>
      <c r="C262" s="1" t="n">
        <v>45357</v>
      </c>
      <c r="D262" t="inlineStr">
        <is>
          <t>JÄMTLANDS LÄN</t>
        </is>
      </c>
      <c r="E262" t="inlineStr">
        <is>
          <t>HÄRJEDALEN</t>
        </is>
      </c>
      <c r="F262" t="inlineStr">
        <is>
          <t>Sveaskog</t>
        </is>
      </c>
      <c r="G262" t="n">
        <v>39.9</v>
      </c>
      <c r="H262" t="n">
        <v>0</v>
      </c>
      <c r="I262" t="n">
        <v>0</v>
      </c>
      <c r="J262" t="n">
        <v>0</v>
      </c>
      <c r="K262" t="n">
        <v>0</v>
      </c>
      <c r="L262" t="n">
        <v>0</v>
      </c>
      <c r="M262" t="n">
        <v>0</v>
      </c>
      <c r="N262" t="n">
        <v>0</v>
      </c>
      <c r="O262" t="n">
        <v>0</v>
      </c>
      <c r="P262" t="n">
        <v>0</v>
      </c>
      <c r="Q262" t="n">
        <v>0</v>
      </c>
      <c r="R262" s="2" t="inlineStr"/>
    </row>
    <row r="263" ht="15" customHeight="1">
      <c r="A263" t="inlineStr">
        <is>
          <t>A 24760-2019</t>
        </is>
      </c>
      <c r="B263" s="1" t="n">
        <v>43601</v>
      </c>
      <c r="C263" s="1" t="n">
        <v>45357</v>
      </c>
      <c r="D263" t="inlineStr">
        <is>
          <t>JÄMTLANDS LÄN</t>
        </is>
      </c>
      <c r="E263" t="inlineStr">
        <is>
          <t>HÄRJEDALEN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25309-2019</t>
        </is>
      </c>
      <c r="B264" s="1" t="n">
        <v>43605</v>
      </c>
      <c r="C264" s="1" t="n">
        <v>45357</v>
      </c>
      <c r="D264" t="inlineStr">
        <is>
          <t>JÄMTLANDS LÄN</t>
        </is>
      </c>
      <c r="E264" t="inlineStr">
        <is>
          <t>HÄRJEDALEN</t>
        </is>
      </c>
      <c r="G264" t="n">
        <v>0.1</v>
      </c>
      <c r="H264" t="n">
        <v>0</v>
      </c>
      <c r="I264" t="n">
        <v>0</v>
      </c>
      <c r="J264" t="n">
        <v>0</v>
      </c>
      <c r="K264" t="n">
        <v>0</v>
      </c>
      <c r="L264" t="n">
        <v>0</v>
      </c>
      <c r="M264" t="n">
        <v>0</v>
      </c>
      <c r="N264" t="n">
        <v>0</v>
      </c>
      <c r="O264" t="n">
        <v>0</v>
      </c>
      <c r="P264" t="n">
        <v>0</v>
      </c>
      <c r="Q264" t="n">
        <v>0</v>
      </c>
      <c r="R264" s="2" t="inlineStr"/>
    </row>
    <row r="265" ht="15" customHeight="1">
      <c r="A265" t="inlineStr">
        <is>
          <t>A 25470-2019</t>
        </is>
      </c>
      <c r="B265" s="1" t="n">
        <v>43606</v>
      </c>
      <c r="C265" s="1" t="n">
        <v>45357</v>
      </c>
      <c r="D265" t="inlineStr">
        <is>
          <t>JÄMTLANDS LÄN</t>
        </is>
      </c>
      <c r="E265" t="inlineStr">
        <is>
          <t>HÄRJEDALEN</t>
        </is>
      </c>
      <c r="G265" t="n">
        <v>36.8</v>
      </c>
      <c r="H265" t="n">
        <v>0</v>
      </c>
      <c r="I265" t="n">
        <v>0</v>
      </c>
      <c r="J265" t="n">
        <v>0</v>
      </c>
      <c r="K265" t="n">
        <v>0</v>
      </c>
      <c r="L265" t="n">
        <v>0</v>
      </c>
      <c r="M265" t="n">
        <v>0</v>
      </c>
      <c r="N265" t="n">
        <v>0</v>
      </c>
      <c r="O265" t="n">
        <v>0</v>
      </c>
      <c r="P265" t="n">
        <v>0</v>
      </c>
      <c r="Q265" t="n">
        <v>0</v>
      </c>
      <c r="R265" s="2" t="inlineStr"/>
    </row>
    <row r="266" ht="15" customHeight="1">
      <c r="A266" t="inlineStr">
        <is>
          <t>A 26166-2019</t>
        </is>
      </c>
      <c r="B266" s="1" t="n">
        <v>43609</v>
      </c>
      <c r="C266" s="1" t="n">
        <v>45357</v>
      </c>
      <c r="D266" t="inlineStr">
        <is>
          <t>JÄMTLANDS LÄN</t>
        </is>
      </c>
      <c r="E266" t="inlineStr">
        <is>
          <t>HÄRJEDALEN</t>
        </is>
      </c>
      <c r="G266" t="n">
        <v>85.2</v>
      </c>
      <c r="H266" t="n">
        <v>0</v>
      </c>
      <c r="I266" t="n">
        <v>0</v>
      </c>
      <c r="J266" t="n">
        <v>0</v>
      </c>
      <c r="K266" t="n">
        <v>0</v>
      </c>
      <c r="L266" t="n">
        <v>0</v>
      </c>
      <c r="M266" t="n">
        <v>0</v>
      </c>
      <c r="N266" t="n">
        <v>0</v>
      </c>
      <c r="O266" t="n">
        <v>0</v>
      </c>
      <c r="P266" t="n">
        <v>0</v>
      </c>
      <c r="Q266" t="n">
        <v>0</v>
      </c>
      <c r="R266" s="2" t="inlineStr"/>
    </row>
    <row r="267" ht="15" customHeight="1">
      <c r="A267" t="inlineStr">
        <is>
          <t>A 26310-2019</t>
        </is>
      </c>
      <c r="B267" s="1" t="n">
        <v>43612</v>
      </c>
      <c r="C267" s="1" t="n">
        <v>45357</v>
      </c>
      <c r="D267" t="inlineStr">
        <is>
          <t>JÄMTLANDS LÄN</t>
        </is>
      </c>
      <c r="E267" t="inlineStr">
        <is>
          <t>HÄRJEDALEN</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26423-2019</t>
        </is>
      </c>
      <c r="B268" s="1" t="n">
        <v>43612</v>
      </c>
      <c r="C268" s="1" t="n">
        <v>45357</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27683-2019</t>
        </is>
      </c>
      <c r="B269" s="1" t="n">
        <v>43619</v>
      </c>
      <c r="C269" s="1" t="n">
        <v>45357</v>
      </c>
      <c r="D269" t="inlineStr">
        <is>
          <t>JÄMTLANDS LÄN</t>
        </is>
      </c>
      <c r="E269" t="inlineStr">
        <is>
          <t>HÄRJEDALEN</t>
        </is>
      </c>
      <c r="G269" t="n">
        <v>5.4</v>
      </c>
      <c r="H269" t="n">
        <v>0</v>
      </c>
      <c r="I269" t="n">
        <v>0</v>
      </c>
      <c r="J269" t="n">
        <v>0</v>
      </c>
      <c r="K269" t="n">
        <v>0</v>
      </c>
      <c r="L269" t="n">
        <v>0</v>
      </c>
      <c r="M269" t="n">
        <v>0</v>
      </c>
      <c r="N269" t="n">
        <v>0</v>
      </c>
      <c r="O269" t="n">
        <v>0</v>
      </c>
      <c r="P269" t="n">
        <v>0</v>
      </c>
      <c r="Q269" t="n">
        <v>0</v>
      </c>
      <c r="R269" s="2" t="inlineStr"/>
    </row>
    <row r="270" ht="15" customHeight="1">
      <c r="A270" t="inlineStr">
        <is>
          <t>A 27903-2019</t>
        </is>
      </c>
      <c r="B270" s="1" t="n">
        <v>43620</v>
      </c>
      <c r="C270" s="1" t="n">
        <v>45357</v>
      </c>
      <c r="D270" t="inlineStr">
        <is>
          <t>JÄMTLANDS LÄN</t>
        </is>
      </c>
      <c r="E270" t="inlineStr">
        <is>
          <t>HÄRJEDALEN</t>
        </is>
      </c>
      <c r="G270" t="n">
        <v>22</v>
      </c>
      <c r="H270" t="n">
        <v>0</v>
      </c>
      <c r="I270" t="n">
        <v>0</v>
      </c>
      <c r="J270" t="n">
        <v>0</v>
      </c>
      <c r="K270" t="n">
        <v>0</v>
      </c>
      <c r="L270" t="n">
        <v>0</v>
      </c>
      <c r="M270" t="n">
        <v>0</v>
      </c>
      <c r="N270" t="n">
        <v>0</v>
      </c>
      <c r="O270" t="n">
        <v>0</v>
      </c>
      <c r="P270" t="n">
        <v>0</v>
      </c>
      <c r="Q270" t="n">
        <v>0</v>
      </c>
      <c r="R270" s="2" t="inlineStr"/>
    </row>
    <row r="271" ht="15" customHeight="1">
      <c r="A271" t="inlineStr">
        <is>
          <t>A 28312-2019</t>
        </is>
      </c>
      <c r="B271" s="1" t="n">
        <v>43623</v>
      </c>
      <c r="C271" s="1" t="n">
        <v>45357</v>
      </c>
      <c r="D271" t="inlineStr">
        <is>
          <t>JÄMTLANDS LÄN</t>
        </is>
      </c>
      <c r="E271" t="inlineStr">
        <is>
          <t>HÄRJEDALEN</t>
        </is>
      </c>
      <c r="G271" t="n">
        <v>6.5</v>
      </c>
      <c r="H271" t="n">
        <v>0</v>
      </c>
      <c r="I271" t="n">
        <v>0</v>
      </c>
      <c r="J271" t="n">
        <v>0</v>
      </c>
      <c r="K271" t="n">
        <v>0</v>
      </c>
      <c r="L271" t="n">
        <v>0</v>
      </c>
      <c r="M271" t="n">
        <v>0</v>
      </c>
      <c r="N271" t="n">
        <v>0</v>
      </c>
      <c r="O271" t="n">
        <v>0</v>
      </c>
      <c r="P271" t="n">
        <v>0</v>
      </c>
      <c r="Q271" t="n">
        <v>0</v>
      </c>
      <c r="R271" s="2" t="inlineStr"/>
    </row>
    <row r="272" ht="15" customHeight="1">
      <c r="A272" t="inlineStr">
        <is>
          <t>A 28326-2019</t>
        </is>
      </c>
      <c r="B272" s="1" t="n">
        <v>43623</v>
      </c>
      <c r="C272" s="1" t="n">
        <v>45357</v>
      </c>
      <c r="D272" t="inlineStr">
        <is>
          <t>JÄMTLANDS LÄN</t>
        </is>
      </c>
      <c r="E272" t="inlineStr">
        <is>
          <t>HÄRJEDALEN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28513-2019</t>
        </is>
      </c>
      <c r="B273" s="1" t="n">
        <v>43626</v>
      </c>
      <c r="C273" s="1" t="n">
        <v>45357</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29263-2019</t>
        </is>
      </c>
      <c r="B274" s="1" t="n">
        <v>43629</v>
      </c>
      <c r="C274" s="1" t="n">
        <v>45357</v>
      </c>
      <c r="D274" t="inlineStr">
        <is>
          <t>JÄMTLANDS LÄN</t>
        </is>
      </c>
      <c r="E274" t="inlineStr">
        <is>
          <t>HÄRJEDALEN</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29822-2019</t>
        </is>
      </c>
      <c r="B275" s="1" t="n">
        <v>43633</v>
      </c>
      <c r="C275" s="1" t="n">
        <v>45357</v>
      </c>
      <c r="D275" t="inlineStr">
        <is>
          <t>JÄMTLANDS LÄN</t>
        </is>
      </c>
      <c r="E275" t="inlineStr">
        <is>
          <t>HÄRJEDALEN</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34618-2019</t>
        </is>
      </c>
      <c r="B276" s="1" t="n">
        <v>43647</v>
      </c>
      <c r="C276" s="1" t="n">
        <v>45357</v>
      </c>
      <c r="D276" t="inlineStr">
        <is>
          <t>JÄMTLANDS LÄN</t>
        </is>
      </c>
      <c r="E276" t="inlineStr">
        <is>
          <t>HÄRJEDALEN</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32878-2019</t>
        </is>
      </c>
      <c r="B277" s="1" t="n">
        <v>43648</v>
      </c>
      <c r="C277" s="1" t="n">
        <v>45357</v>
      </c>
      <c r="D277" t="inlineStr">
        <is>
          <t>JÄMTLANDS LÄN</t>
        </is>
      </c>
      <c r="E277" t="inlineStr">
        <is>
          <t>HÄRJEDALEN</t>
        </is>
      </c>
      <c r="F277" t="inlineStr">
        <is>
          <t>Övriga Aktiebolag</t>
        </is>
      </c>
      <c r="G277" t="n">
        <v>91.8</v>
      </c>
      <c r="H277" t="n">
        <v>0</v>
      </c>
      <c r="I277" t="n">
        <v>0</v>
      </c>
      <c r="J277" t="n">
        <v>0</v>
      </c>
      <c r="K277" t="n">
        <v>0</v>
      </c>
      <c r="L277" t="n">
        <v>0</v>
      </c>
      <c r="M277" t="n">
        <v>0</v>
      </c>
      <c r="N277" t="n">
        <v>0</v>
      </c>
      <c r="O277" t="n">
        <v>0</v>
      </c>
      <c r="P277" t="n">
        <v>0</v>
      </c>
      <c r="Q277" t="n">
        <v>0</v>
      </c>
      <c r="R277" s="2" t="inlineStr"/>
    </row>
    <row r="278" ht="15" customHeight="1">
      <c r="A278" t="inlineStr">
        <is>
          <t>A 33496-2019</t>
        </is>
      </c>
      <c r="B278" s="1" t="n">
        <v>43651</v>
      </c>
      <c r="C278" s="1" t="n">
        <v>45357</v>
      </c>
      <c r="D278" t="inlineStr">
        <is>
          <t>JÄMTLANDS LÄN</t>
        </is>
      </c>
      <c r="E278" t="inlineStr">
        <is>
          <t>HÄRJEDALEN</t>
        </is>
      </c>
      <c r="G278" t="n">
        <v>3.6</v>
      </c>
      <c r="H278" t="n">
        <v>0</v>
      </c>
      <c r="I278" t="n">
        <v>0</v>
      </c>
      <c r="J278" t="n">
        <v>0</v>
      </c>
      <c r="K278" t="n">
        <v>0</v>
      </c>
      <c r="L278" t="n">
        <v>0</v>
      </c>
      <c r="M278" t="n">
        <v>0</v>
      </c>
      <c r="N278" t="n">
        <v>0</v>
      </c>
      <c r="O278" t="n">
        <v>0</v>
      </c>
      <c r="P278" t="n">
        <v>0</v>
      </c>
      <c r="Q278" t="n">
        <v>0</v>
      </c>
      <c r="R278" s="2" t="inlineStr"/>
    </row>
    <row r="279" ht="15" customHeight="1">
      <c r="A279" t="inlineStr">
        <is>
          <t>A 33497-2019</t>
        </is>
      </c>
      <c r="B279" s="1" t="n">
        <v>43651</v>
      </c>
      <c r="C279" s="1" t="n">
        <v>45357</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34688-2019</t>
        </is>
      </c>
      <c r="B280" s="1" t="n">
        <v>43657</v>
      </c>
      <c r="C280" s="1" t="n">
        <v>45357</v>
      </c>
      <c r="D280" t="inlineStr">
        <is>
          <t>JÄMTLANDS LÄN</t>
        </is>
      </c>
      <c r="E280" t="inlineStr">
        <is>
          <t>HÄRJEDALEN</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34805-2019</t>
        </is>
      </c>
      <c r="B281" s="1" t="n">
        <v>43658</v>
      </c>
      <c r="C281" s="1" t="n">
        <v>45357</v>
      </c>
      <c r="D281" t="inlineStr">
        <is>
          <t>JÄMTLANDS LÄN</t>
        </is>
      </c>
      <c r="E281" t="inlineStr">
        <is>
          <t>HÄRJEDALEN</t>
        </is>
      </c>
      <c r="F281" t="inlineStr">
        <is>
          <t>Sveaskog</t>
        </is>
      </c>
      <c r="G281" t="n">
        <v>0.2</v>
      </c>
      <c r="H281" t="n">
        <v>0</v>
      </c>
      <c r="I281" t="n">
        <v>0</v>
      </c>
      <c r="J281" t="n">
        <v>0</v>
      </c>
      <c r="K281" t="n">
        <v>0</v>
      </c>
      <c r="L281" t="n">
        <v>0</v>
      </c>
      <c r="M281" t="n">
        <v>0</v>
      </c>
      <c r="N281" t="n">
        <v>0</v>
      </c>
      <c r="O281" t="n">
        <v>0</v>
      </c>
      <c r="P281" t="n">
        <v>0</v>
      </c>
      <c r="Q281" t="n">
        <v>0</v>
      </c>
      <c r="R281" s="2" t="inlineStr"/>
    </row>
    <row r="282" ht="15" customHeight="1">
      <c r="A282" t="inlineStr">
        <is>
          <t>A 35160-2019</t>
        </is>
      </c>
      <c r="B282" s="1" t="n">
        <v>43661</v>
      </c>
      <c r="C282" s="1" t="n">
        <v>45357</v>
      </c>
      <c r="D282" t="inlineStr">
        <is>
          <t>JÄMTLANDS LÄN</t>
        </is>
      </c>
      <c r="E282" t="inlineStr">
        <is>
          <t>HÄRJEDALEN</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36343-2019</t>
        </is>
      </c>
      <c r="B283" s="1" t="n">
        <v>43662</v>
      </c>
      <c r="C283" s="1" t="n">
        <v>45357</v>
      </c>
      <c r="D283" t="inlineStr">
        <is>
          <t>JÄMTLANDS LÄN</t>
        </is>
      </c>
      <c r="E283" t="inlineStr">
        <is>
          <t>HÄRJEDALEN</t>
        </is>
      </c>
      <c r="G283" t="n">
        <v>8</v>
      </c>
      <c r="H283" t="n">
        <v>0</v>
      </c>
      <c r="I283" t="n">
        <v>0</v>
      </c>
      <c r="J283" t="n">
        <v>0</v>
      </c>
      <c r="K283" t="n">
        <v>0</v>
      </c>
      <c r="L283" t="n">
        <v>0</v>
      </c>
      <c r="M283" t="n">
        <v>0</v>
      </c>
      <c r="N283" t="n">
        <v>0</v>
      </c>
      <c r="O283" t="n">
        <v>0</v>
      </c>
      <c r="P283" t="n">
        <v>0</v>
      </c>
      <c r="Q283" t="n">
        <v>0</v>
      </c>
      <c r="R283" s="2" t="inlineStr"/>
    </row>
    <row r="284" ht="15" customHeight="1">
      <c r="A284" t="inlineStr">
        <is>
          <t>A 38283-2019</t>
        </is>
      </c>
      <c r="B284" s="1" t="n">
        <v>43684</v>
      </c>
      <c r="C284" s="1" t="n">
        <v>45357</v>
      </c>
      <c r="D284" t="inlineStr">
        <is>
          <t>JÄMTLANDS LÄN</t>
        </is>
      </c>
      <c r="E284" t="inlineStr">
        <is>
          <t>HÄRJEDALEN</t>
        </is>
      </c>
      <c r="F284" t="inlineStr">
        <is>
          <t>Bergvik skog väst AB</t>
        </is>
      </c>
      <c r="G284" t="n">
        <v>29.5</v>
      </c>
      <c r="H284" t="n">
        <v>0</v>
      </c>
      <c r="I284" t="n">
        <v>0</v>
      </c>
      <c r="J284" t="n">
        <v>0</v>
      </c>
      <c r="K284" t="n">
        <v>0</v>
      </c>
      <c r="L284" t="n">
        <v>0</v>
      </c>
      <c r="M284" t="n">
        <v>0</v>
      </c>
      <c r="N284" t="n">
        <v>0</v>
      </c>
      <c r="O284" t="n">
        <v>0</v>
      </c>
      <c r="P284" t="n">
        <v>0</v>
      </c>
      <c r="Q284" t="n">
        <v>0</v>
      </c>
      <c r="R284" s="2" t="inlineStr"/>
    </row>
    <row r="285" ht="15" customHeight="1">
      <c r="A285" t="inlineStr">
        <is>
          <t>A 38859-2019</t>
        </is>
      </c>
      <c r="B285" s="1" t="n">
        <v>43689</v>
      </c>
      <c r="C285" s="1" t="n">
        <v>45357</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38884-2019</t>
        </is>
      </c>
      <c r="B286" s="1" t="n">
        <v>43689</v>
      </c>
      <c r="C286" s="1" t="n">
        <v>45357</v>
      </c>
      <c r="D286" t="inlineStr">
        <is>
          <t>JÄMTLANDS LÄN</t>
        </is>
      </c>
      <c r="E286" t="inlineStr">
        <is>
          <t>HÄRJEDALEN</t>
        </is>
      </c>
      <c r="G286" t="n">
        <v>2.5</v>
      </c>
      <c r="H286" t="n">
        <v>0</v>
      </c>
      <c r="I286" t="n">
        <v>0</v>
      </c>
      <c r="J286" t="n">
        <v>0</v>
      </c>
      <c r="K286" t="n">
        <v>0</v>
      </c>
      <c r="L286" t="n">
        <v>0</v>
      </c>
      <c r="M286" t="n">
        <v>0</v>
      </c>
      <c r="N286" t="n">
        <v>0</v>
      </c>
      <c r="O286" t="n">
        <v>0</v>
      </c>
      <c r="P286" t="n">
        <v>0</v>
      </c>
      <c r="Q286" t="n">
        <v>0</v>
      </c>
      <c r="R286" s="2" t="inlineStr"/>
    </row>
    <row r="287" ht="15" customHeight="1">
      <c r="A287" t="inlineStr">
        <is>
          <t>A 40244-2019</t>
        </is>
      </c>
      <c r="B287" s="1" t="n">
        <v>43694</v>
      </c>
      <c r="C287" s="1" t="n">
        <v>45357</v>
      </c>
      <c r="D287" t="inlineStr">
        <is>
          <t>JÄMTLANDS LÄN</t>
        </is>
      </c>
      <c r="E287" t="inlineStr">
        <is>
          <t>HÄRJEDALEN</t>
        </is>
      </c>
      <c r="G287" t="n">
        <v>0.2</v>
      </c>
      <c r="H287" t="n">
        <v>0</v>
      </c>
      <c r="I287" t="n">
        <v>0</v>
      </c>
      <c r="J287" t="n">
        <v>0</v>
      </c>
      <c r="K287" t="n">
        <v>0</v>
      </c>
      <c r="L287" t="n">
        <v>0</v>
      </c>
      <c r="M287" t="n">
        <v>0</v>
      </c>
      <c r="N287" t="n">
        <v>0</v>
      </c>
      <c r="O287" t="n">
        <v>0</v>
      </c>
      <c r="P287" t="n">
        <v>0</v>
      </c>
      <c r="Q287" t="n">
        <v>0</v>
      </c>
      <c r="R287" s="2" t="inlineStr"/>
    </row>
    <row r="288" ht="15" customHeight="1">
      <c r="A288" t="inlineStr">
        <is>
          <t>A 42123-2019</t>
        </is>
      </c>
      <c r="B288" s="1" t="n">
        <v>43703</v>
      </c>
      <c r="C288" s="1" t="n">
        <v>45357</v>
      </c>
      <c r="D288" t="inlineStr">
        <is>
          <t>JÄMTLANDS LÄN</t>
        </is>
      </c>
      <c r="E288" t="inlineStr">
        <is>
          <t>HÄRJEDALEN</t>
        </is>
      </c>
      <c r="G288" t="n">
        <v>1.8</v>
      </c>
      <c r="H288" t="n">
        <v>0</v>
      </c>
      <c r="I288" t="n">
        <v>0</v>
      </c>
      <c r="J288" t="n">
        <v>0</v>
      </c>
      <c r="K288" t="n">
        <v>0</v>
      </c>
      <c r="L288" t="n">
        <v>0</v>
      </c>
      <c r="M288" t="n">
        <v>0</v>
      </c>
      <c r="N288" t="n">
        <v>0</v>
      </c>
      <c r="O288" t="n">
        <v>0</v>
      </c>
      <c r="P288" t="n">
        <v>0</v>
      </c>
      <c r="Q288" t="n">
        <v>0</v>
      </c>
      <c r="R288" s="2" t="inlineStr"/>
    </row>
    <row r="289" ht="15" customHeight="1">
      <c r="A289" t="inlineStr">
        <is>
          <t>A 43103-2019</t>
        </is>
      </c>
      <c r="B289" s="1" t="n">
        <v>43705</v>
      </c>
      <c r="C289" s="1" t="n">
        <v>45357</v>
      </c>
      <c r="D289" t="inlineStr">
        <is>
          <t>JÄMTLANDS LÄN</t>
        </is>
      </c>
      <c r="E289" t="inlineStr">
        <is>
          <t>HÄRJEDALEN</t>
        </is>
      </c>
      <c r="G289" t="n">
        <v>38.6</v>
      </c>
      <c r="H289" t="n">
        <v>0</v>
      </c>
      <c r="I289" t="n">
        <v>0</v>
      </c>
      <c r="J289" t="n">
        <v>0</v>
      </c>
      <c r="K289" t="n">
        <v>0</v>
      </c>
      <c r="L289" t="n">
        <v>0</v>
      </c>
      <c r="M289" t="n">
        <v>0</v>
      </c>
      <c r="N289" t="n">
        <v>0</v>
      </c>
      <c r="O289" t="n">
        <v>0</v>
      </c>
      <c r="P289" t="n">
        <v>0</v>
      </c>
      <c r="Q289" t="n">
        <v>0</v>
      </c>
      <c r="R289" s="2" t="inlineStr"/>
    </row>
    <row r="290" ht="15" customHeight="1">
      <c r="A290" t="inlineStr">
        <is>
          <t>A 43142-2019</t>
        </is>
      </c>
      <c r="B290" s="1" t="n">
        <v>43705</v>
      </c>
      <c r="C290" s="1" t="n">
        <v>45357</v>
      </c>
      <c r="D290" t="inlineStr">
        <is>
          <t>JÄMTLANDS LÄN</t>
        </is>
      </c>
      <c r="E290" t="inlineStr">
        <is>
          <t>HÄRJEDALEN</t>
        </is>
      </c>
      <c r="G290" t="n">
        <v>3.2</v>
      </c>
      <c r="H290" t="n">
        <v>0</v>
      </c>
      <c r="I290" t="n">
        <v>0</v>
      </c>
      <c r="J290" t="n">
        <v>0</v>
      </c>
      <c r="K290" t="n">
        <v>0</v>
      </c>
      <c r="L290" t="n">
        <v>0</v>
      </c>
      <c r="M290" t="n">
        <v>0</v>
      </c>
      <c r="N290" t="n">
        <v>0</v>
      </c>
      <c r="O290" t="n">
        <v>0</v>
      </c>
      <c r="P290" t="n">
        <v>0</v>
      </c>
      <c r="Q290" t="n">
        <v>0</v>
      </c>
      <c r="R290" s="2" t="inlineStr"/>
    </row>
    <row r="291" ht="15" customHeight="1">
      <c r="A291" t="inlineStr">
        <is>
          <t>A 43649-2019</t>
        </is>
      </c>
      <c r="B291" s="1" t="n">
        <v>43707</v>
      </c>
      <c r="C291" s="1" t="n">
        <v>45357</v>
      </c>
      <c r="D291" t="inlineStr">
        <is>
          <t>JÄMTLANDS LÄN</t>
        </is>
      </c>
      <c r="E291" t="inlineStr">
        <is>
          <t>HÄRJEDALEN</t>
        </is>
      </c>
      <c r="F291" t="inlineStr">
        <is>
          <t>Sveaskog</t>
        </is>
      </c>
      <c r="G291" t="n">
        <v>6.7</v>
      </c>
      <c r="H291" t="n">
        <v>0</v>
      </c>
      <c r="I291" t="n">
        <v>0</v>
      </c>
      <c r="J291" t="n">
        <v>0</v>
      </c>
      <c r="K291" t="n">
        <v>0</v>
      </c>
      <c r="L291" t="n">
        <v>0</v>
      </c>
      <c r="M291" t="n">
        <v>0</v>
      </c>
      <c r="N291" t="n">
        <v>0</v>
      </c>
      <c r="O291" t="n">
        <v>0</v>
      </c>
      <c r="P291" t="n">
        <v>0</v>
      </c>
      <c r="Q291" t="n">
        <v>0</v>
      </c>
      <c r="R291" s="2" t="inlineStr"/>
    </row>
    <row r="292" ht="15" customHeight="1">
      <c r="A292" t="inlineStr">
        <is>
          <t>A 43896-2019</t>
        </is>
      </c>
      <c r="B292" s="1" t="n">
        <v>43707</v>
      </c>
      <c r="C292" s="1" t="n">
        <v>45357</v>
      </c>
      <c r="D292" t="inlineStr">
        <is>
          <t>JÄMTLANDS LÄN</t>
        </is>
      </c>
      <c r="E292" t="inlineStr">
        <is>
          <t>HÄRJEDALEN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45167-2019</t>
        </is>
      </c>
      <c r="B293" s="1" t="n">
        <v>43713</v>
      </c>
      <c r="C293" s="1" t="n">
        <v>45357</v>
      </c>
      <c r="D293" t="inlineStr">
        <is>
          <t>JÄMTLANDS LÄN</t>
        </is>
      </c>
      <c r="E293" t="inlineStr">
        <is>
          <t>HÄRJEDALEN</t>
        </is>
      </c>
      <c r="F293" t="inlineStr">
        <is>
          <t>Holmen skog AB</t>
        </is>
      </c>
      <c r="G293" t="n">
        <v>15.9</v>
      </c>
      <c r="H293" t="n">
        <v>0</v>
      </c>
      <c r="I293" t="n">
        <v>0</v>
      </c>
      <c r="J293" t="n">
        <v>0</v>
      </c>
      <c r="K293" t="n">
        <v>0</v>
      </c>
      <c r="L293" t="n">
        <v>0</v>
      </c>
      <c r="M293" t="n">
        <v>0</v>
      </c>
      <c r="N293" t="n">
        <v>0</v>
      </c>
      <c r="O293" t="n">
        <v>0</v>
      </c>
      <c r="P293" t="n">
        <v>0</v>
      </c>
      <c r="Q293" t="n">
        <v>0</v>
      </c>
      <c r="R293" s="2" t="inlineStr"/>
    </row>
    <row r="294" ht="15" customHeight="1">
      <c r="A294" t="inlineStr">
        <is>
          <t>A 44939-2019</t>
        </is>
      </c>
      <c r="B294" s="1" t="n">
        <v>43713</v>
      </c>
      <c r="C294" s="1" t="n">
        <v>45357</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45858-2019</t>
        </is>
      </c>
      <c r="B295" s="1" t="n">
        <v>43717</v>
      </c>
      <c r="C295" s="1" t="n">
        <v>45357</v>
      </c>
      <c r="D295" t="inlineStr">
        <is>
          <t>JÄMTLANDS LÄN</t>
        </is>
      </c>
      <c r="E295" t="inlineStr">
        <is>
          <t>HÄRJEDALEN</t>
        </is>
      </c>
      <c r="F295" t="inlineStr">
        <is>
          <t>Holmen skog AB</t>
        </is>
      </c>
      <c r="G295" t="n">
        <v>3.9</v>
      </c>
      <c r="H295" t="n">
        <v>0</v>
      </c>
      <c r="I295" t="n">
        <v>0</v>
      </c>
      <c r="J295" t="n">
        <v>0</v>
      </c>
      <c r="K295" t="n">
        <v>0</v>
      </c>
      <c r="L295" t="n">
        <v>0</v>
      </c>
      <c r="M295" t="n">
        <v>0</v>
      </c>
      <c r="N295" t="n">
        <v>0</v>
      </c>
      <c r="O295" t="n">
        <v>0</v>
      </c>
      <c r="P295" t="n">
        <v>0</v>
      </c>
      <c r="Q295" t="n">
        <v>0</v>
      </c>
      <c r="R295" s="2" t="inlineStr"/>
    </row>
    <row r="296" ht="15" customHeight="1">
      <c r="A296" t="inlineStr">
        <is>
          <t>A 45781-2019</t>
        </is>
      </c>
      <c r="B296" s="1" t="n">
        <v>43717</v>
      </c>
      <c r="C296" s="1" t="n">
        <v>45357</v>
      </c>
      <c r="D296" t="inlineStr">
        <is>
          <t>JÄMTLANDS LÄN</t>
        </is>
      </c>
      <c r="E296" t="inlineStr">
        <is>
          <t>HÄRJEDALEN</t>
        </is>
      </c>
      <c r="F296" t="inlineStr">
        <is>
          <t>Holmen skog AB</t>
        </is>
      </c>
      <c r="G296" t="n">
        <v>13.8</v>
      </c>
      <c r="H296" t="n">
        <v>0</v>
      </c>
      <c r="I296" t="n">
        <v>0</v>
      </c>
      <c r="J296" t="n">
        <v>0</v>
      </c>
      <c r="K296" t="n">
        <v>0</v>
      </c>
      <c r="L296" t="n">
        <v>0</v>
      </c>
      <c r="M296" t="n">
        <v>0</v>
      </c>
      <c r="N296" t="n">
        <v>0</v>
      </c>
      <c r="O296" t="n">
        <v>0</v>
      </c>
      <c r="P296" t="n">
        <v>0</v>
      </c>
      <c r="Q296" t="n">
        <v>0</v>
      </c>
      <c r="R296" s="2" t="inlineStr"/>
    </row>
    <row r="297" ht="15" customHeight="1">
      <c r="A297" t="inlineStr">
        <is>
          <t>A 46156-2019</t>
        </is>
      </c>
      <c r="B297" s="1" t="n">
        <v>43718</v>
      </c>
      <c r="C297" s="1" t="n">
        <v>45357</v>
      </c>
      <c r="D297" t="inlineStr">
        <is>
          <t>JÄMTLANDS LÄN</t>
        </is>
      </c>
      <c r="E297" t="inlineStr">
        <is>
          <t>HÄRJEDALEN</t>
        </is>
      </c>
      <c r="G297" t="n">
        <v>3.9</v>
      </c>
      <c r="H297" t="n">
        <v>0</v>
      </c>
      <c r="I297" t="n">
        <v>0</v>
      </c>
      <c r="J297" t="n">
        <v>0</v>
      </c>
      <c r="K297" t="n">
        <v>0</v>
      </c>
      <c r="L297" t="n">
        <v>0</v>
      </c>
      <c r="M297" t="n">
        <v>0</v>
      </c>
      <c r="N297" t="n">
        <v>0</v>
      </c>
      <c r="O297" t="n">
        <v>0</v>
      </c>
      <c r="P297" t="n">
        <v>0</v>
      </c>
      <c r="Q297" t="n">
        <v>0</v>
      </c>
      <c r="R297" s="2" t="inlineStr"/>
    </row>
    <row r="298" ht="15" customHeight="1">
      <c r="A298" t="inlineStr">
        <is>
          <t>A 46133-2019</t>
        </is>
      </c>
      <c r="B298" s="1" t="n">
        <v>43718</v>
      </c>
      <c r="C298" s="1" t="n">
        <v>45357</v>
      </c>
      <c r="D298" t="inlineStr">
        <is>
          <t>JÄMTLANDS LÄN</t>
        </is>
      </c>
      <c r="E298" t="inlineStr">
        <is>
          <t>HÄRJEDALEN</t>
        </is>
      </c>
      <c r="G298" t="n">
        <v>17.6</v>
      </c>
      <c r="H298" t="n">
        <v>0</v>
      </c>
      <c r="I298" t="n">
        <v>0</v>
      </c>
      <c r="J298" t="n">
        <v>0</v>
      </c>
      <c r="K298" t="n">
        <v>0</v>
      </c>
      <c r="L298" t="n">
        <v>0</v>
      </c>
      <c r="M298" t="n">
        <v>0</v>
      </c>
      <c r="N298" t="n">
        <v>0</v>
      </c>
      <c r="O298" t="n">
        <v>0</v>
      </c>
      <c r="P298" t="n">
        <v>0</v>
      </c>
      <c r="Q298" t="n">
        <v>0</v>
      </c>
      <c r="R298" s="2" t="inlineStr"/>
    </row>
    <row r="299" ht="15" customHeight="1">
      <c r="A299" t="inlineStr">
        <is>
          <t>A 46163-2019</t>
        </is>
      </c>
      <c r="B299" s="1" t="n">
        <v>43718</v>
      </c>
      <c r="C299" s="1" t="n">
        <v>45357</v>
      </c>
      <c r="D299" t="inlineStr">
        <is>
          <t>JÄMTLANDS LÄN</t>
        </is>
      </c>
      <c r="E299" t="inlineStr">
        <is>
          <t>HÄRJEDALEN</t>
        </is>
      </c>
      <c r="G299" t="n">
        <v>28.9</v>
      </c>
      <c r="H299" t="n">
        <v>0</v>
      </c>
      <c r="I299" t="n">
        <v>0</v>
      </c>
      <c r="J299" t="n">
        <v>0</v>
      </c>
      <c r="K299" t="n">
        <v>0</v>
      </c>
      <c r="L299" t="n">
        <v>0</v>
      </c>
      <c r="M299" t="n">
        <v>0</v>
      </c>
      <c r="N299" t="n">
        <v>0</v>
      </c>
      <c r="O299" t="n">
        <v>0</v>
      </c>
      <c r="P299" t="n">
        <v>0</v>
      </c>
      <c r="Q299" t="n">
        <v>0</v>
      </c>
      <c r="R299" s="2" t="inlineStr"/>
    </row>
    <row r="300" ht="15" customHeight="1">
      <c r="A300" t="inlineStr">
        <is>
          <t>A 47004-2019</t>
        </is>
      </c>
      <c r="B300" s="1" t="n">
        <v>43720</v>
      </c>
      <c r="C300" s="1" t="n">
        <v>45357</v>
      </c>
      <c r="D300" t="inlineStr">
        <is>
          <t>JÄMTLANDS LÄN</t>
        </is>
      </c>
      <c r="E300" t="inlineStr">
        <is>
          <t>HÄRJEDALEN</t>
        </is>
      </c>
      <c r="F300" t="inlineStr">
        <is>
          <t>Bergvik skog väst AB</t>
        </is>
      </c>
      <c r="G300" t="n">
        <v>13.7</v>
      </c>
      <c r="H300" t="n">
        <v>0</v>
      </c>
      <c r="I300" t="n">
        <v>0</v>
      </c>
      <c r="J300" t="n">
        <v>0</v>
      </c>
      <c r="K300" t="n">
        <v>0</v>
      </c>
      <c r="L300" t="n">
        <v>0</v>
      </c>
      <c r="M300" t="n">
        <v>0</v>
      </c>
      <c r="N300" t="n">
        <v>0</v>
      </c>
      <c r="O300" t="n">
        <v>0</v>
      </c>
      <c r="P300" t="n">
        <v>0</v>
      </c>
      <c r="Q300" t="n">
        <v>0</v>
      </c>
      <c r="R300" s="2" t="inlineStr"/>
    </row>
    <row r="301" ht="15" customHeight="1">
      <c r="A301" t="inlineStr">
        <is>
          <t>A 49328-2019</t>
        </is>
      </c>
      <c r="B301" s="1" t="n">
        <v>43731</v>
      </c>
      <c r="C301" s="1" t="n">
        <v>45357</v>
      </c>
      <c r="D301" t="inlineStr">
        <is>
          <t>JÄMTLANDS LÄN</t>
        </is>
      </c>
      <c r="E301" t="inlineStr">
        <is>
          <t>HÄRJEDALEN</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49336-2019</t>
        </is>
      </c>
      <c r="B302" s="1" t="n">
        <v>43731</v>
      </c>
      <c r="C302" s="1" t="n">
        <v>45357</v>
      </c>
      <c r="D302" t="inlineStr">
        <is>
          <t>JÄMTLANDS LÄN</t>
        </is>
      </c>
      <c r="E302" t="inlineStr">
        <is>
          <t>HÄRJEDALEN</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50310-2019</t>
        </is>
      </c>
      <c r="B303" s="1" t="n">
        <v>43735</v>
      </c>
      <c r="C303" s="1" t="n">
        <v>45357</v>
      </c>
      <c r="D303" t="inlineStr">
        <is>
          <t>JÄMTLANDS LÄN</t>
        </is>
      </c>
      <c r="E303" t="inlineStr">
        <is>
          <t>HÄRJEDALEN</t>
        </is>
      </c>
      <c r="G303" t="n">
        <v>9.1</v>
      </c>
      <c r="H303" t="n">
        <v>0</v>
      </c>
      <c r="I303" t="n">
        <v>0</v>
      </c>
      <c r="J303" t="n">
        <v>0</v>
      </c>
      <c r="K303" t="n">
        <v>0</v>
      </c>
      <c r="L303" t="n">
        <v>0</v>
      </c>
      <c r="M303" t="n">
        <v>0</v>
      </c>
      <c r="N303" t="n">
        <v>0</v>
      </c>
      <c r="O303" t="n">
        <v>0</v>
      </c>
      <c r="P303" t="n">
        <v>0</v>
      </c>
      <c r="Q303" t="n">
        <v>0</v>
      </c>
      <c r="R303" s="2" t="inlineStr"/>
    </row>
    <row r="304" ht="15" customHeight="1">
      <c r="A304" t="inlineStr">
        <is>
          <t>A 50411-2019</t>
        </is>
      </c>
      <c r="B304" s="1" t="n">
        <v>43735</v>
      </c>
      <c r="C304" s="1" t="n">
        <v>45357</v>
      </c>
      <c r="D304" t="inlineStr">
        <is>
          <t>JÄMTLANDS LÄN</t>
        </is>
      </c>
      <c r="E304" t="inlineStr">
        <is>
          <t>HÄRJEDALEN</t>
        </is>
      </c>
      <c r="F304" t="inlineStr">
        <is>
          <t>Sveaskog</t>
        </is>
      </c>
      <c r="G304" t="n">
        <v>7</v>
      </c>
      <c r="H304" t="n">
        <v>0</v>
      </c>
      <c r="I304" t="n">
        <v>0</v>
      </c>
      <c r="J304" t="n">
        <v>0</v>
      </c>
      <c r="K304" t="n">
        <v>0</v>
      </c>
      <c r="L304" t="n">
        <v>0</v>
      </c>
      <c r="M304" t="n">
        <v>0</v>
      </c>
      <c r="N304" t="n">
        <v>0</v>
      </c>
      <c r="O304" t="n">
        <v>0</v>
      </c>
      <c r="P304" t="n">
        <v>0</v>
      </c>
      <c r="Q304" t="n">
        <v>0</v>
      </c>
      <c r="R304" s="2" t="inlineStr"/>
    </row>
    <row r="305" ht="15" customHeight="1">
      <c r="A305" t="inlineStr">
        <is>
          <t>A 50519-2019</t>
        </is>
      </c>
      <c r="B305" s="1" t="n">
        <v>43735</v>
      </c>
      <c r="C305" s="1" t="n">
        <v>45357</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50624-2019</t>
        </is>
      </c>
      <c r="B306" s="1" t="n">
        <v>43736</v>
      </c>
      <c r="C306" s="1" t="n">
        <v>45357</v>
      </c>
      <c r="D306" t="inlineStr">
        <is>
          <t>JÄMTLANDS LÄN</t>
        </is>
      </c>
      <c r="E306" t="inlineStr">
        <is>
          <t>HÄRJEDALEN</t>
        </is>
      </c>
      <c r="G306" t="n">
        <v>2.4</v>
      </c>
      <c r="H306" t="n">
        <v>0</v>
      </c>
      <c r="I306" t="n">
        <v>0</v>
      </c>
      <c r="J306" t="n">
        <v>0</v>
      </c>
      <c r="K306" t="n">
        <v>0</v>
      </c>
      <c r="L306" t="n">
        <v>0</v>
      </c>
      <c r="M306" t="n">
        <v>0</v>
      </c>
      <c r="N306" t="n">
        <v>0</v>
      </c>
      <c r="O306" t="n">
        <v>0</v>
      </c>
      <c r="P306" t="n">
        <v>0</v>
      </c>
      <c r="Q306" t="n">
        <v>0</v>
      </c>
      <c r="R306" s="2" t="inlineStr"/>
    </row>
    <row r="307" ht="15" customHeight="1">
      <c r="A307" t="inlineStr">
        <is>
          <t>A 51108-2019</t>
        </is>
      </c>
      <c r="B307" s="1" t="n">
        <v>43739</v>
      </c>
      <c r="C307" s="1" t="n">
        <v>45357</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51118-2019</t>
        </is>
      </c>
      <c r="B308" s="1" t="n">
        <v>43739</v>
      </c>
      <c r="C308" s="1" t="n">
        <v>45357</v>
      </c>
      <c r="D308" t="inlineStr">
        <is>
          <t>JÄMTLANDS LÄN</t>
        </is>
      </c>
      <c r="E308" t="inlineStr">
        <is>
          <t>HÄRJEDALEN</t>
        </is>
      </c>
      <c r="G308" t="n">
        <v>12.5</v>
      </c>
      <c r="H308" t="n">
        <v>0</v>
      </c>
      <c r="I308" t="n">
        <v>0</v>
      </c>
      <c r="J308" t="n">
        <v>0</v>
      </c>
      <c r="K308" t="n">
        <v>0</v>
      </c>
      <c r="L308" t="n">
        <v>0</v>
      </c>
      <c r="M308" t="n">
        <v>0</v>
      </c>
      <c r="N308" t="n">
        <v>0</v>
      </c>
      <c r="O308" t="n">
        <v>0</v>
      </c>
      <c r="P308" t="n">
        <v>0</v>
      </c>
      <c r="Q308" t="n">
        <v>0</v>
      </c>
      <c r="R308" s="2" t="inlineStr"/>
    </row>
    <row r="309" ht="15" customHeight="1">
      <c r="A309" t="inlineStr">
        <is>
          <t>A 51123-2019</t>
        </is>
      </c>
      <c r="B309" s="1" t="n">
        <v>43739</v>
      </c>
      <c r="C309" s="1" t="n">
        <v>45357</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51105-2019</t>
        </is>
      </c>
      <c r="B310" s="1" t="n">
        <v>43739</v>
      </c>
      <c r="C310" s="1" t="n">
        <v>45357</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51111-2019</t>
        </is>
      </c>
      <c r="B311" s="1" t="n">
        <v>43739</v>
      </c>
      <c r="C311" s="1" t="n">
        <v>45357</v>
      </c>
      <c r="D311" t="inlineStr">
        <is>
          <t>JÄMTLANDS LÄN</t>
        </is>
      </c>
      <c r="E311" t="inlineStr">
        <is>
          <t>HÄRJEDALEN</t>
        </is>
      </c>
      <c r="G311" t="n">
        <v>3.7</v>
      </c>
      <c r="H311" t="n">
        <v>0</v>
      </c>
      <c r="I311" t="n">
        <v>0</v>
      </c>
      <c r="J311" t="n">
        <v>0</v>
      </c>
      <c r="K311" t="n">
        <v>0</v>
      </c>
      <c r="L311" t="n">
        <v>0</v>
      </c>
      <c r="M311" t="n">
        <v>0</v>
      </c>
      <c r="N311" t="n">
        <v>0</v>
      </c>
      <c r="O311" t="n">
        <v>0</v>
      </c>
      <c r="P311" t="n">
        <v>0</v>
      </c>
      <c r="Q311" t="n">
        <v>0</v>
      </c>
      <c r="R311" s="2" t="inlineStr"/>
    </row>
    <row r="312" ht="15" customHeight="1">
      <c r="A312" t="inlineStr">
        <is>
          <t>A 52304-2019</t>
        </is>
      </c>
      <c r="B312" s="1" t="n">
        <v>43745</v>
      </c>
      <c r="C312" s="1" t="n">
        <v>45357</v>
      </c>
      <c r="D312" t="inlineStr">
        <is>
          <t>JÄMTLANDS LÄN</t>
        </is>
      </c>
      <c r="E312" t="inlineStr">
        <is>
          <t>HÄRJEDALEN</t>
        </is>
      </c>
      <c r="G312" t="n">
        <v>4.8</v>
      </c>
      <c r="H312" t="n">
        <v>0</v>
      </c>
      <c r="I312" t="n">
        <v>0</v>
      </c>
      <c r="J312" t="n">
        <v>0</v>
      </c>
      <c r="K312" t="n">
        <v>0</v>
      </c>
      <c r="L312" t="n">
        <v>0</v>
      </c>
      <c r="M312" t="n">
        <v>0</v>
      </c>
      <c r="N312" t="n">
        <v>0</v>
      </c>
      <c r="O312" t="n">
        <v>0</v>
      </c>
      <c r="P312" t="n">
        <v>0</v>
      </c>
      <c r="Q312" t="n">
        <v>0</v>
      </c>
      <c r="R312" s="2" t="inlineStr"/>
    </row>
    <row r="313" ht="15" customHeight="1">
      <c r="A313" t="inlineStr">
        <is>
          <t>A 52709-2019</t>
        </is>
      </c>
      <c r="B313" s="1" t="n">
        <v>43746</v>
      </c>
      <c r="C313" s="1" t="n">
        <v>45357</v>
      </c>
      <c r="D313" t="inlineStr">
        <is>
          <t>JÄMTLANDS LÄN</t>
        </is>
      </c>
      <c r="E313" t="inlineStr">
        <is>
          <t>HÄRJEDALEN</t>
        </is>
      </c>
      <c r="G313" t="n">
        <v>10.6</v>
      </c>
      <c r="H313" t="n">
        <v>0</v>
      </c>
      <c r="I313" t="n">
        <v>0</v>
      </c>
      <c r="J313" t="n">
        <v>0</v>
      </c>
      <c r="K313" t="n">
        <v>0</v>
      </c>
      <c r="L313" t="n">
        <v>0</v>
      </c>
      <c r="M313" t="n">
        <v>0</v>
      </c>
      <c r="N313" t="n">
        <v>0</v>
      </c>
      <c r="O313" t="n">
        <v>0</v>
      </c>
      <c r="P313" t="n">
        <v>0</v>
      </c>
      <c r="Q313" t="n">
        <v>0</v>
      </c>
      <c r="R313" s="2" t="inlineStr"/>
    </row>
    <row r="314" ht="15" customHeight="1">
      <c r="A314" t="inlineStr">
        <is>
          <t>A 52992-2019</t>
        </is>
      </c>
      <c r="B314" s="1" t="n">
        <v>43747</v>
      </c>
      <c r="C314" s="1" t="n">
        <v>45357</v>
      </c>
      <c r="D314" t="inlineStr">
        <is>
          <t>JÄMTLANDS LÄN</t>
        </is>
      </c>
      <c r="E314" t="inlineStr">
        <is>
          <t>HÄRJEDALEN</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52991-2019</t>
        </is>
      </c>
      <c r="B315" s="1" t="n">
        <v>43747</v>
      </c>
      <c r="C315" s="1" t="n">
        <v>45357</v>
      </c>
      <c r="D315" t="inlineStr">
        <is>
          <t>JÄMTLANDS LÄN</t>
        </is>
      </c>
      <c r="E315" t="inlineStr">
        <is>
          <t>HÄRJEDALEN</t>
        </is>
      </c>
      <c r="F315" t="inlineStr">
        <is>
          <t>Sveaskog</t>
        </is>
      </c>
      <c r="G315" t="n">
        <v>13.6</v>
      </c>
      <c r="H315" t="n">
        <v>0</v>
      </c>
      <c r="I315" t="n">
        <v>0</v>
      </c>
      <c r="J315" t="n">
        <v>0</v>
      </c>
      <c r="K315" t="n">
        <v>0</v>
      </c>
      <c r="L315" t="n">
        <v>0</v>
      </c>
      <c r="M315" t="n">
        <v>0</v>
      </c>
      <c r="N315" t="n">
        <v>0</v>
      </c>
      <c r="O315" t="n">
        <v>0</v>
      </c>
      <c r="P315" t="n">
        <v>0</v>
      </c>
      <c r="Q315" t="n">
        <v>0</v>
      </c>
      <c r="R315" s="2" t="inlineStr"/>
    </row>
    <row r="316" ht="15" customHeight="1">
      <c r="A316" t="inlineStr">
        <is>
          <t>A 53418-2019</t>
        </is>
      </c>
      <c r="B316" s="1" t="n">
        <v>43748</v>
      </c>
      <c r="C316" s="1" t="n">
        <v>45357</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53952-2019</t>
        </is>
      </c>
      <c r="B317" s="1" t="n">
        <v>43752</v>
      </c>
      <c r="C317" s="1" t="n">
        <v>45357</v>
      </c>
      <c r="D317" t="inlineStr">
        <is>
          <t>JÄMTLANDS LÄN</t>
        </is>
      </c>
      <c r="E317" t="inlineStr">
        <is>
          <t>HÄRJEDALEN</t>
        </is>
      </c>
      <c r="G317" t="n">
        <v>8.6</v>
      </c>
      <c r="H317" t="n">
        <v>0</v>
      </c>
      <c r="I317" t="n">
        <v>0</v>
      </c>
      <c r="J317" t="n">
        <v>0</v>
      </c>
      <c r="K317" t="n">
        <v>0</v>
      </c>
      <c r="L317" t="n">
        <v>0</v>
      </c>
      <c r="M317" t="n">
        <v>0</v>
      </c>
      <c r="N317" t="n">
        <v>0</v>
      </c>
      <c r="O317" t="n">
        <v>0</v>
      </c>
      <c r="P317" t="n">
        <v>0</v>
      </c>
      <c r="Q317" t="n">
        <v>0</v>
      </c>
      <c r="R317" s="2" t="inlineStr"/>
    </row>
    <row r="318" ht="15" customHeight="1">
      <c r="A318" t="inlineStr">
        <is>
          <t>A 53962-2019</t>
        </is>
      </c>
      <c r="B318" s="1" t="n">
        <v>43752</v>
      </c>
      <c r="C318" s="1" t="n">
        <v>45357</v>
      </c>
      <c r="D318" t="inlineStr">
        <is>
          <t>JÄMTLANDS LÄN</t>
        </is>
      </c>
      <c r="E318" t="inlineStr">
        <is>
          <t>HÄRJEDALEN</t>
        </is>
      </c>
      <c r="G318" t="n">
        <v>19.4</v>
      </c>
      <c r="H318" t="n">
        <v>0</v>
      </c>
      <c r="I318" t="n">
        <v>0</v>
      </c>
      <c r="J318" t="n">
        <v>0</v>
      </c>
      <c r="K318" t="n">
        <v>0</v>
      </c>
      <c r="L318" t="n">
        <v>0</v>
      </c>
      <c r="M318" t="n">
        <v>0</v>
      </c>
      <c r="N318" t="n">
        <v>0</v>
      </c>
      <c r="O318" t="n">
        <v>0</v>
      </c>
      <c r="P318" t="n">
        <v>0</v>
      </c>
      <c r="Q318" t="n">
        <v>0</v>
      </c>
      <c r="R318" s="2" t="inlineStr"/>
    </row>
    <row r="319" ht="15" customHeight="1">
      <c r="A319" t="inlineStr">
        <is>
          <t>A 54905-2019</t>
        </is>
      </c>
      <c r="B319" s="1" t="n">
        <v>43755</v>
      </c>
      <c r="C319" s="1" t="n">
        <v>45357</v>
      </c>
      <c r="D319" t="inlineStr">
        <is>
          <t>JÄMTLANDS LÄN</t>
        </is>
      </c>
      <c r="E319" t="inlineStr">
        <is>
          <t>HÄRJEDALEN</t>
        </is>
      </c>
      <c r="G319" t="n">
        <v>2</v>
      </c>
      <c r="H319" t="n">
        <v>0</v>
      </c>
      <c r="I319" t="n">
        <v>0</v>
      </c>
      <c r="J319" t="n">
        <v>0</v>
      </c>
      <c r="K319" t="n">
        <v>0</v>
      </c>
      <c r="L319" t="n">
        <v>0</v>
      </c>
      <c r="M319" t="n">
        <v>0</v>
      </c>
      <c r="N319" t="n">
        <v>0</v>
      </c>
      <c r="O319" t="n">
        <v>0</v>
      </c>
      <c r="P319" t="n">
        <v>0</v>
      </c>
      <c r="Q319" t="n">
        <v>0</v>
      </c>
      <c r="R319" s="2" t="inlineStr"/>
    </row>
    <row r="320" ht="15" customHeight="1">
      <c r="A320" t="inlineStr">
        <is>
          <t>A 55197-2019</t>
        </is>
      </c>
      <c r="B320" s="1" t="n">
        <v>43756</v>
      </c>
      <c r="C320" s="1" t="n">
        <v>45357</v>
      </c>
      <c r="D320" t="inlineStr">
        <is>
          <t>JÄMTLANDS LÄN</t>
        </is>
      </c>
      <c r="E320" t="inlineStr">
        <is>
          <t>HÄRJEDALEN</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55241-2019</t>
        </is>
      </c>
      <c r="B321" s="1" t="n">
        <v>43756</v>
      </c>
      <c r="C321" s="1" t="n">
        <v>45357</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55193-2019</t>
        </is>
      </c>
      <c r="B322" s="1" t="n">
        <v>43756</v>
      </c>
      <c r="C322" s="1" t="n">
        <v>45357</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55238-2019</t>
        </is>
      </c>
      <c r="B323" s="1" t="n">
        <v>43756</v>
      </c>
      <c r="C323" s="1" t="n">
        <v>45357</v>
      </c>
      <c r="D323" t="inlineStr">
        <is>
          <t>JÄMTLANDS LÄN</t>
        </is>
      </c>
      <c r="E323" t="inlineStr">
        <is>
          <t>HÄRJEDALEN</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55801-2019</t>
        </is>
      </c>
      <c r="B324" s="1" t="n">
        <v>43759</v>
      </c>
      <c r="C324" s="1" t="n">
        <v>45357</v>
      </c>
      <c r="D324" t="inlineStr">
        <is>
          <t>JÄMTLANDS LÄN</t>
        </is>
      </c>
      <c r="E324" t="inlineStr">
        <is>
          <t>HÄRJEDALEN</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55554-2019</t>
        </is>
      </c>
      <c r="B325" s="1" t="n">
        <v>43759</v>
      </c>
      <c r="C325" s="1" t="n">
        <v>45357</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57281-2019</t>
        </is>
      </c>
      <c r="B326" s="1" t="n">
        <v>43759</v>
      </c>
      <c r="C326" s="1" t="n">
        <v>45357</v>
      </c>
      <c r="D326" t="inlineStr">
        <is>
          <t>JÄMTLANDS LÄN</t>
        </is>
      </c>
      <c r="E326" t="inlineStr">
        <is>
          <t>HÄRJEDALEN</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55578-2019</t>
        </is>
      </c>
      <c r="B327" s="1" t="n">
        <v>43760</v>
      </c>
      <c r="C327" s="1" t="n">
        <v>45357</v>
      </c>
      <c r="D327" t="inlineStr">
        <is>
          <t>JÄMTLANDS LÄN</t>
        </is>
      </c>
      <c r="E327" t="inlineStr">
        <is>
          <t>HÄRJEDALEN</t>
        </is>
      </c>
      <c r="G327" t="n">
        <v>3.6</v>
      </c>
      <c r="H327" t="n">
        <v>0</v>
      </c>
      <c r="I327" t="n">
        <v>0</v>
      </c>
      <c r="J327" t="n">
        <v>0</v>
      </c>
      <c r="K327" t="n">
        <v>0</v>
      </c>
      <c r="L327" t="n">
        <v>0</v>
      </c>
      <c r="M327" t="n">
        <v>0</v>
      </c>
      <c r="N327" t="n">
        <v>0</v>
      </c>
      <c r="O327" t="n">
        <v>0</v>
      </c>
      <c r="P327" t="n">
        <v>0</v>
      </c>
      <c r="Q327" t="n">
        <v>0</v>
      </c>
      <c r="R327" s="2" t="inlineStr"/>
    </row>
    <row r="328" ht="15" customHeight="1">
      <c r="A328" t="inlineStr">
        <is>
          <t>A 55607-2019</t>
        </is>
      </c>
      <c r="B328" s="1" t="n">
        <v>43760</v>
      </c>
      <c r="C328" s="1" t="n">
        <v>45357</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56217-2019</t>
        </is>
      </c>
      <c r="B329" s="1" t="n">
        <v>43762</v>
      </c>
      <c r="C329" s="1" t="n">
        <v>45357</v>
      </c>
      <c r="D329" t="inlineStr">
        <is>
          <t>JÄMTLANDS LÄN</t>
        </is>
      </c>
      <c r="E329" t="inlineStr">
        <is>
          <t>HÄRJEDALEN</t>
        </is>
      </c>
      <c r="G329" t="n">
        <v>43.2</v>
      </c>
      <c r="H329" t="n">
        <v>0</v>
      </c>
      <c r="I329" t="n">
        <v>0</v>
      </c>
      <c r="J329" t="n">
        <v>0</v>
      </c>
      <c r="K329" t="n">
        <v>0</v>
      </c>
      <c r="L329" t="n">
        <v>0</v>
      </c>
      <c r="M329" t="n">
        <v>0</v>
      </c>
      <c r="N329" t="n">
        <v>0</v>
      </c>
      <c r="O329" t="n">
        <v>0</v>
      </c>
      <c r="P329" t="n">
        <v>0</v>
      </c>
      <c r="Q329" t="n">
        <v>0</v>
      </c>
      <c r="R329" s="2" t="inlineStr"/>
    </row>
    <row r="330" ht="15" customHeight="1">
      <c r="A330" t="inlineStr">
        <is>
          <t>A 58175-2019</t>
        </is>
      </c>
      <c r="B330" s="1" t="n">
        <v>43769</v>
      </c>
      <c r="C330" s="1" t="n">
        <v>45357</v>
      </c>
      <c r="D330" t="inlineStr">
        <is>
          <t>JÄMTLANDS LÄN</t>
        </is>
      </c>
      <c r="E330" t="inlineStr">
        <is>
          <t>HÄRJEDALEN</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59347-2019</t>
        </is>
      </c>
      <c r="B331" s="1" t="n">
        <v>43770</v>
      </c>
      <c r="C331" s="1" t="n">
        <v>45357</v>
      </c>
      <c r="D331" t="inlineStr">
        <is>
          <t>JÄMTLANDS LÄN</t>
        </is>
      </c>
      <c r="E331" t="inlineStr">
        <is>
          <t>HÄRJEDALEN</t>
        </is>
      </c>
      <c r="G331" t="n">
        <v>2.3</v>
      </c>
      <c r="H331" t="n">
        <v>0</v>
      </c>
      <c r="I331" t="n">
        <v>0</v>
      </c>
      <c r="J331" t="n">
        <v>0</v>
      </c>
      <c r="K331" t="n">
        <v>0</v>
      </c>
      <c r="L331" t="n">
        <v>0</v>
      </c>
      <c r="M331" t="n">
        <v>0</v>
      </c>
      <c r="N331" t="n">
        <v>0</v>
      </c>
      <c r="O331" t="n">
        <v>0</v>
      </c>
      <c r="P331" t="n">
        <v>0</v>
      </c>
      <c r="Q331" t="n">
        <v>0</v>
      </c>
      <c r="R331" s="2" t="inlineStr"/>
    </row>
    <row r="332" ht="15" customHeight="1">
      <c r="A332" t="inlineStr">
        <is>
          <t>A 58742-2019</t>
        </is>
      </c>
      <c r="B332" s="1" t="n">
        <v>43773</v>
      </c>
      <c r="C332" s="1" t="n">
        <v>45357</v>
      </c>
      <c r="D332" t="inlineStr">
        <is>
          <t>JÄMTLANDS LÄN</t>
        </is>
      </c>
      <c r="E332" t="inlineStr">
        <is>
          <t>HÄRJEDALEN</t>
        </is>
      </c>
      <c r="G332" t="n">
        <v>4</v>
      </c>
      <c r="H332" t="n">
        <v>0</v>
      </c>
      <c r="I332" t="n">
        <v>0</v>
      </c>
      <c r="J332" t="n">
        <v>0</v>
      </c>
      <c r="K332" t="n">
        <v>0</v>
      </c>
      <c r="L332" t="n">
        <v>0</v>
      </c>
      <c r="M332" t="n">
        <v>0</v>
      </c>
      <c r="N332" t="n">
        <v>0</v>
      </c>
      <c r="O332" t="n">
        <v>0</v>
      </c>
      <c r="P332" t="n">
        <v>0</v>
      </c>
      <c r="Q332" t="n">
        <v>0</v>
      </c>
      <c r="R332" s="2" t="inlineStr"/>
    </row>
    <row r="333" ht="15" customHeight="1">
      <c r="A333" t="inlineStr">
        <is>
          <t>A 59984-2019</t>
        </is>
      </c>
      <c r="B333" s="1" t="n">
        <v>43775</v>
      </c>
      <c r="C333" s="1" t="n">
        <v>45357</v>
      </c>
      <c r="D333" t="inlineStr">
        <is>
          <t>JÄMTLANDS LÄN</t>
        </is>
      </c>
      <c r="E333" t="inlineStr">
        <is>
          <t>HÄRJEDALEN</t>
        </is>
      </c>
      <c r="G333" t="n">
        <v>20.4</v>
      </c>
      <c r="H333" t="n">
        <v>0</v>
      </c>
      <c r="I333" t="n">
        <v>0</v>
      </c>
      <c r="J333" t="n">
        <v>0</v>
      </c>
      <c r="K333" t="n">
        <v>0</v>
      </c>
      <c r="L333" t="n">
        <v>0</v>
      </c>
      <c r="M333" t="n">
        <v>0</v>
      </c>
      <c r="N333" t="n">
        <v>0</v>
      </c>
      <c r="O333" t="n">
        <v>0</v>
      </c>
      <c r="P333" t="n">
        <v>0</v>
      </c>
      <c r="Q333" t="n">
        <v>0</v>
      </c>
      <c r="R333" s="2" t="inlineStr"/>
    </row>
    <row r="334" ht="15" customHeight="1">
      <c r="A334" t="inlineStr">
        <is>
          <t>A 59733-2019</t>
        </is>
      </c>
      <c r="B334" s="1" t="n">
        <v>43776</v>
      </c>
      <c r="C334" s="1" t="n">
        <v>45357</v>
      </c>
      <c r="D334" t="inlineStr">
        <is>
          <t>JÄMTLANDS LÄN</t>
        </is>
      </c>
      <c r="E334" t="inlineStr">
        <is>
          <t>HÄRJEDALEN</t>
        </is>
      </c>
      <c r="G334" t="n">
        <v>1.9</v>
      </c>
      <c r="H334" t="n">
        <v>0</v>
      </c>
      <c r="I334" t="n">
        <v>0</v>
      </c>
      <c r="J334" t="n">
        <v>0</v>
      </c>
      <c r="K334" t="n">
        <v>0</v>
      </c>
      <c r="L334" t="n">
        <v>0</v>
      </c>
      <c r="M334" t="n">
        <v>0</v>
      </c>
      <c r="N334" t="n">
        <v>0</v>
      </c>
      <c r="O334" t="n">
        <v>0</v>
      </c>
      <c r="P334" t="n">
        <v>0</v>
      </c>
      <c r="Q334" t="n">
        <v>0</v>
      </c>
      <c r="R334" s="2" t="inlineStr"/>
    </row>
    <row r="335" ht="15" customHeight="1">
      <c r="A335" t="inlineStr">
        <is>
          <t>A 60213-2019</t>
        </is>
      </c>
      <c r="B335" s="1" t="n">
        <v>43780</v>
      </c>
      <c r="C335" s="1" t="n">
        <v>45357</v>
      </c>
      <c r="D335" t="inlineStr">
        <is>
          <t>JÄMTLANDS LÄN</t>
        </is>
      </c>
      <c r="E335" t="inlineStr">
        <is>
          <t>HÄRJEDALEN</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62342-2019</t>
        </is>
      </c>
      <c r="B336" s="1" t="n">
        <v>43782</v>
      </c>
      <c r="C336" s="1" t="n">
        <v>45357</v>
      </c>
      <c r="D336" t="inlineStr">
        <is>
          <t>JÄMTLANDS LÄN</t>
        </is>
      </c>
      <c r="E336" t="inlineStr">
        <is>
          <t>HÄRJEDALEN</t>
        </is>
      </c>
      <c r="G336" t="n">
        <v>1.6</v>
      </c>
      <c r="H336" t="n">
        <v>0</v>
      </c>
      <c r="I336" t="n">
        <v>0</v>
      </c>
      <c r="J336" t="n">
        <v>0</v>
      </c>
      <c r="K336" t="n">
        <v>0</v>
      </c>
      <c r="L336" t="n">
        <v>0</v>
      </c>
      <c r="M336" t="n">
        <v>0</v>
      </c>
      <c r="N336" t="n">
        <v>0</v>
      </c>
      <c r="O336" t="n">
        <v>0</v>
      </c>
      <c r="P336" t="n">
        <v>0</v>
      </c>
      <c r="Q336" t="n">
        <v>0</v>
      </c>
      <c r="R336" s="2" t="inlineStr"/>
    </row>
    <row r="337" ht="15" customHeight="1">
      <c r="A337" t="inlineStr">
        <is>
          <t>A 60919-2019</t>
        </is>
      </c>
      <c r="B337" s="1" t="n">
        <v>43782</v>
      </c>
      <c r="C337" s="1" t="n">
        <v>45357</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62115-2019</t>
        </is>
      </c>
      <c r="B338" s="1" t="n">
        <v>43787</v>
      </c>
      <c r="C338" s="1" t="n">
        <v>45357</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62451-2019</t>
        </is>
      </c>
      <c r="B339" s="1" t="n">
        <v>43788</v>
      </c>
      <c r="C339" s="1" t="n">
        <v>45357</v>
      </c>
      <c r="D339" t="inlineStr">
        <is>
          <t>JÄMTLANDS LÄN</t>
        </is>
      </c>
      <c r="E339" t="inlineStr">
        <is>
          <t>HÄRJEDALEN</t>
        </is>
      </c>
      <c r="F339" t="inlineStr">
        <is>
          <t>Bergvik skog väst AB</t>
        </is>
      </c>
      <c r="G339" t="n">
        <v>22.2</v>
      </c>
      <c r="H339" t="n">
        <v>0</v>
      </c>
      <c r="I339" t="n">
        <v>0</v>
      </c>
      <c r="J339" t="n">
        <v>0</v>
      </c>
      <c r="K339" t="n">
        <v>0</v>
      </c>
      <c r="L339" t="n">
        <v>0</v>
      </c>
      <c r="M339" t="n">
        <v>0</v>
      </c>
      <c r="N339" t="n">
        <v>0</v>
      </c>
      <c r="O339" t="n">
        <v>0</v>
      </c>
      <c r="P339" t="n">
        <v>0</v>
      </c>
      <c r="Q339" t="n">
        <v>0</v>
      </c>
      <c r="R339" s="2" t="inlineStr"/>
    </row>
    <row r="340" ht="15" customHeight="1">
      <c r="A340" t="inlineStr">
        <is>
          <t>A 62971-2019</t>
        </is>
      </c>
      <c r="B340" s="1" t="n">
        <v>43790</v>
      </c>
      <c r="C340" s="1" t="n">
        <v>45357</v>
      </c>
      <c r="D340" t="inlineStr">
        <is>
          <t>JÄMTLANDS LÄN</t>
        </is>
      </c>
      <c r="E340" t="inlineStr">
        <is>
          <t>HÄRJEDALEN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64417-2019</t>
        </is>
      </c>
      <c r="B341" s="1" t="n">
        <v>43794</v>
      </c>
      <c r="C341" s="1" t="n">
        <v>45357</v>
      </c>
      <c r="D341" t="inlineStr">
        <is>
          <t>JÄMTLANDS LÄN</t>
        </is>
      </c>
      <c r="E341" t="inlineStr">
        <is>
          <t>HÄRJEDALEN</t>
        </is>
      </c>
      <c r="G341" t="n">
        <v>6.9</v>
      </c>
      <c r="H341" t="n">
        <v>0</v>
      </c>
      <c r="I341" t="n">
        <v>0</v>
      </c>
      <c r="J341" t="n">
        <v>0</v>
      </c>
      <c r="K341" t="n">
        <v>0</v>
      </c>
      <c r="L341" t="n">
        <v>0</v>
      </c>
      <c r="M341" t="n">
        <v>0</v>
      </c>
      <c r="N341" t="n">
        <v>0</v>
      </c>
      <c r="O341" t="n">
        <v>0</v>
      </c>
      <c r="P341" t="n">
        <v>0</v>
      </c>
      <c r="Q341" t="n">
        <v>0</v>
      </c>
      <c r="R341" s="2" t="inlineStr"/>
    </row>
    <row r="342" ht="15" customHeight="1">
      <c r="A342" t="inlineStr">
        <is>
          <t>A 64229-2019</t>
        </is>
      </c>
      <c r="B342" s="1" t="n">
        <v>43797</v>
      </c>
      <c r="C342" s="1" t="n">
        <v>45357</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64689-2019</t>
        </is>
      </c>
      <c r="B343" s="1" t="n">
        <v>43798</v>
      </c>
      <c r="C343" s="1" t="n">
        <v>45357</v>
      </c>
      <c r="D343" t="inlineStr">
        <is>
          <t>JÄMTLANDS LÄN</t>
        </is>
      </c>
      <c r="E343" t="inlineStr">
        <is>
          <t>HÄRJEDALEN</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65759-2019</t>
        </is>
      </c>
      <c r="B344" s="1" t="n">
        <v>43804</v>
      </c>
      <c r="C344" s="1" t="n">
        <v>45357</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66255-2019</t>
        </is>
      </c>
      <c r="B345" s="1" t="n">
        <v>43808</v>
      </c>
      <c r="C345" s="1" t="n">
        <v>45357</v>
      </c>
      <c r="D345" t="inlineStr">
        <is>
          <t>JÄMTLANDS LÄN</t>
        </is>
      </c>
      <c r="E345" t="inlineStr">
        <is>
          <t>HÄRJEDALEN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66735-2019</t>
        </is>
      </c>
      <c r="B346" s="1" t="n">
        <v>43810</v>
      </c>
      <c r="C346" s="1" t="n">
        <v>45357</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67619-2019</t>
        </is>
      </c>
      <c r="B347" s="1" t="n">
        <v>43815</v>
      </c>
      <c r="C347" s="1" t="n">
        <v>45357</v>
      </c>
      <c r="D347" t="inlineStr">
        <is>
          <t>JÄMTLANDS LÄN</t>
        </is>
      </c>
      <c r="E347" t="inlineStr">
        <is>
          <t>HÄRJEDALEN</t>
        </is>
      </c>
      <c r="F347" t="inlineStr">
        <is>
          <t>Holmen skog AB</t>
        </is>
      </c>
      <c r="G347" t="n">
        <v>6.4</v>
      </c>
      <c r="H347" t="n">
        <v>0</v>
      </c>
      <c r="I347" t="n">
        <v>0</v>
      </c>
      <c r="J347" t="n">
        <v>0</v>
      </c>
      <c r="K347" t="n">
        <v>0</v>
      </c>
      <c r="L347" t="n">
        <v>0</v>
      </c>
      <c r="M347" t="n">
        <v>0</v>
      </c>
      <c r="N347" t="n">
        <v>0</v>
      </c>
      <c r="O347" t="n">
        <v>0</v>
      </c>
      <c r="P347" t="n">
        <v>0</v>
      </c>
      <c r="Q347" t="n">
        <v>0</v>
      </c>
      <c r="R347" s="2" t="inlineStr"/>
    </row>
    <row r="348" ht="15" customHeight="1">
      <c r="A348" t="inlineStr">
        <is>
          <t>A 67693-2019</t>
        </is>
      </c>
      <c r="B348" s="1" t="n">
        <v>43815</v>
      </c>
      <c r="C348" s="1" t="n">
        <v>45357</v>
      </c>
      <c r="D348" t="inlineStr">
        <is>
          <t>JÄMTLANDS LÄN</t>
        </is>
      </c>
      <c r="E348" t="inlineStr">
        <is>
          <t>HÄRJEDALEN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67500-2019</t>
        </is>
      </c>
      <c r="B349" s="1" t="n">
        <v>43815</v>
      </c>
      <c r="C349" s="1" t="n">
        <v>45357</v>
      </c>
      <c r="D349" t="inlineStr">
        <is>
          <t>JÄMTLANDS LÄN</t>
        </is>
      </c>
      <c r="E349" t="inlineStr">
        <is>
          <t>HÄRJEDALEN</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67695-2019</t>
        </is>
      </c>
      <c r="B350" s="1" t="n">
        <v>43815</v>
      </c>
      <c r="C350" s="1" t="n">
        <v>45357</v>
      </c>
      <c r="D350" t="inlineStr">
        <is>
          <t>JÄMTLANDS LÄN</t>
        </is>
      </c>
      <c r="E350" t="inlineStr">
        <is>
          <t>HÄRJEDALEN</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67757-2019</t>
        </is>
      </c>
      <c r="B351" s="1" t="n">
        <v>43815</v>
      </c>
      <c r="C351" s="1" t="n">
        <v>45357</v>
      </c>
      <c r="D351" t="inlineStr">
        <is>
          <t>JÄMTLANDS LÄN</t>
        </is>
      </c>
      <c r="E351" t="inlineStr">
        <is>
          <t>HÄRJEDALEN</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67688-2019</t>
        </is>
      </c>
      <c r="B352" s="1" t="n">
        <v>43815</v>
      </c>
      <c r="C352" s="1" t="n">
        <v>45357</v>
      </c>
      <c r="D352" t="inlineStr">
        <is>
          <t>JÄMTLANDS LÄN</t>
        </is>
      </c>
      <c r="E352" t="inlineStr">
        <is>
          <t>HÄRJEDALEN</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67738-2019</t>
        </is>
      </c>
      <c r="B353" s="1" t="n">
        <v>43815</v>
      </c>
      <c r="C353" s="1" t="n">
        <v>45357</v>
      </c>
      <c r="D353" t="inlineStr">
        <is>
          <t>JÄMTLANDS LÄN</t>
        </is>
      </c>
      <c r="E353" t="inlineStr">
        <is>
          <t>HÄRJEDALEN</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67506-2019</t>
        </is>
      </c>
      <c r="B354" s="1" t="n">
        <v>43815</v>
      </c>
      <c r="C354" s="1" t="n">
        <v>45357</v>
      </c>
      <c r="D354" t="inlineStr">
        <is>
          <t>JÄMTLANDS LÄN</t>
        </is>
      </c>
      <c r="E354" t="inlineStr">
        <is>
          <t>HÄRJEDALEN</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67692-2019</t>
        </is>
      </c>
      <c r="B355" s="1" t="n">
        <v>43815</v>
      </c>
      <c r="C355" s="1" t="n">
        <v>45357</v>
      </c>
      <c r="D355" t="inlineStr">
        <is>
          <t>JÄMTLANDS LÄN</t>
        </is>
      </c>
      <c r="E355" t="inlineStr">
        <is>
          <t>HÄRJEDALEN</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67733-2019</t>
        </is>
      </c>
      <c r="B356" s="1" t="n">
        <v>43815</v>
      </c>
      <c r="C356" s="1" t="n">
        <v>45357</v>
      </c>
      <c r="D356" t="inlineStr">
        <is>
          <t>JÄMTLANDS LÄN</t>
        </is>
      </c>
      <c r="E356" t="inlineStr">
        <is>
          <t>HÄRJEDALEN</t>
        </is>
      </c>
      <c r="F356" t="inlineStr">
        <is>
          <t>Holmen skog AB</t>
        </is>
      </c>
      <c r="G356" t="n">
        <v>15.5</v>
      </c>
      <c r="H356" t="n">
        <v>0</v>
      </c>
      <c r="I356" t="n">
        <v>0</v>
      </c>
      <c r="J356" t="n">
        <v>0</v>
      </c>
      <c r="K356" t="n">
        <v>0</v>
      </c>
      <c r="L356" t="n">
        <v>0</v>
      </c>
      <c r="M356" t="n">
        <v>0</v>
      </c>
      <c r="N356" t="n">
        <v>0</v>
      </c>
      <c r="O356" t="n">
        <v>0</v>
      </c>
      <c r="P356" t="n">
        <v>0</v>
      </c>
      <c r="Q356" t="n">
        <v>0</v>
      </c>
      <c r="R356" s="2" t="inlineStr"/>
    </row>
    <row r="357" ht="15" customHeight="1">
      <c r="A357" t="inlineStr">
        <is>
          <t>A 67593-2019</t>
        </is>
      </c>
      <c r="B357" s="1" t="n">
        <v>43815</v>
      </c>
      <c r="C357" s="1" t="n">
        <v>45357</v>
      </c>
      <c r="D357" t="inlineStr">
        <is>
          <t>JÄMTLANDS LÄN</t>
        </is>
      </c>
      <c r="E357" t="inlineStr">
        <is>
          <t>HÄRJEDALEN</t>
        </is>
      </c>
      <c r="F357" t="inlineStr">
        <is>
          <t>Holmen skog AB</t>
        </is>
      </c>
      <c r="G357" t="n">
        <v>7.9</v>
      </c>
      <c r="H357" t="n">
        <v>0</v>
      </c>
      <c r="I357" t="n">
        <v>0</v>
      </c>
      <c r="J357" t="n">
        <v>0</v>
      </c>
      <c r="K357" t="n">
        <v>0</v>
      </c>
      <c r="L357" t="n">
        <v>0</v>
      </c>
      <c r="M357" t="n">
        <v>0</v>
      </c>
      <c r="N357" t="n">
        <v>0</v>
      </c>
      <c r="O357" t="n">
        <v>0</v>
      </c>
      <c r="P357" t="n">
        <v>0</v>
      </c>
      <c r="Q357" t="n">
        <v>0</v>
      </c>
      <c r="R357" s="2" t="inlineStr"/>
    </row>
    <row r="358" ht="15" customHeight="1">
      <c r="A358" t="inlineStr">
        <is>
          <t>A 67535-2019</t>
        </is>
      </c>
      <c r="B358" s="1" t="n">
        <v>43815</v>
      </c>
      <c r="C358" s="1" t="n">
        <v>45357</v>
      </c>
      <c r="D358" t="inlineStr">
        <is>
          <t>JÄMTLANDS LÄN</t>
        </is>
      </c>
      <c r="E358" t="inlineStr">
        <is>
          <t>HÄRJEDALEN</t>
        </is>
      </c>
      <c r="F358" t="inlineStr">
        <is>
          <t>Holmen skog AB</t>
        </is>
      </c>
      <c r="G358" t="n">
        <v>34.3</v>
      </c>
      <c r="H358" t="n">
        <v>0</v>
      </c>
      <c r="I358" t="n">
        <v>0</v>
      </c>
      <c r="J358" t="n">
        <v>0</v>
      </c>
      <c r="K358" t="n">
        <v>0</v>
      </c>
      <c r="L358" t="n">
        <v>0</v>
      </c>
      <c r="M358" t="n">
        <v>0</v>
      </c>
      <c r="N358" t="n">
        <v>0</v>
      </c>
      <c r="O358" t="n">
        <v>0</v>
      </c>
      <c r="P358" t="n">
        <v>0</v>
      </c>
      <c r="Q358" t="n">
        <v>0</v>
      </c>
      <c r="R358" s="2" t="inlineStr"/>
    </row>
    <row r="359" ht="15" customHeight="1">
      <c r="A359" t="inlineStr">
        <is>
          <t>A 67972-2019</t>
        </is>
      </c>
      <c r="B359" s="1" t="n">
        <v>43816</v>
      </c>
      <c r="C359" s="1" t="n">
        <v>45357</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642-2020</t>
        </is>
      </c>
      <c r="B360" s="1" t="n">
        <v>43817</v>
      </c>
      <c r="C360" s="1" t="n">
        <v>45357</v>
      </c>
      <c r="D360" t="inlineStr">
        <is>
          <t>JÄMTLANDS LÄN</t>
        </is>
      </c>
      <c r="E360" t="inlineStr">
        <is>
          <t>HÄRJEDALEN</t>
        </is>
      </c>
      <c r="G360" t="n">
        <v>15.5</v>
      </c>
      <c r="H360" t="n">
        <v>0</v>
      </c>
      <c r="I360" t="n">
        <v>0</v>
      </c>
      <c r="J360" t="n">
        <v>0</v>
      </c>
      <c r="K360" t="n">
        <v>0</v>
      </c>
      <c r="L360" t="n">
        <v>0</v>
      </c>
      <c r="M360" t="n">
        <v>0</v>
      </c>
      <c r="N360" t="n">
        <v>0</v>
      </c>
      <c r="O360" t="n">
        <v>0</v>
      </c>
      <c r="P360" t="n">
        <v>0</v>
      </c>
      <c r="Q360" t="n">
        <v>0</v>
      </c>
      <c r="R360" s="2" t="inlineStr"/>
    </row>
    <row r="361" ht="15" customHeight="1">
      <c r="A361" t="inlineStr">
        <is>
          <t>A 159-2020</t>
        </is>
      </c>
      <c r="B361" s="1" t="n">
        <v>43833</v>
      </c>
      <c r="C361" s="1" t="n">
        <v>45357</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2320-2020</t>
        </is>
      </c>
      <c r="B362" s="1" t="n">
        <v>43846</v>
      </c>
      <c r="C362" s="1" t="n">
        <v>45357</v>
      </c>
      <c r="D362" t="inlineStr">
        <is>
          <t>JÄMTLANDS LÄN</t>
        </is>
      </c>
      <c r="E362" t="inlineStr">
        <is>
          <t>HÄRJEDALEN</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4663-2020</t>
        </is>
      </c>
      <c r="B363" s="1" t="n">
        <v>43858</v>
      </c>
      <c r="C363" s="1" t="n">
        <v>45357</v>
      </c>
      <c r="D363" t="inlineStr">
        <is>
          <t>JÄMTLANDS LÄN</t>
        </is>
      </c>
      <c r="E363" t="inlineStr">
        <is>
          <t>HÄRJEDALEN</t>
        </is>
      </c>
      <c r="G363" t="n">
        <v>10.2</v>
      </c>
      <c r="H363" t="n">
        <v>0</v>
      </c>
      <c r="I363" t="n">
        <v>0</v>
      </c>
      <c r="J363" t="n">
        <v>0</v>
      </c>
      <c r="K363" t="n">
        <v>0</v>
      </c>
      <c r="L363" t="n">
        <v>0</v>
      </c>
      <c r="M363" t="n">
        <v>0</v>
      </c>
      <c r="N363" t="n">
        <v>0</v>
      </c>
      <c r="O363" t="n">
        <v>0</v>
      </c>
      <c r="P363" t="n">
        <v>0</v>
      </c>
      <c r="Q363" t="n">
        <v>0</v>
      </c>
      <c r="R363" s="2" t="inlineStr"/>
    </row>
    <row r="364" ht="15" customHeight="1">
      <c r="A364" t="inlineStr">
        <is>
          <t>A 6719-2020</t>
        </is>
      </c>
      <c r="B364" s="1" t="n">
        <v>43866</v>
      </c>
      <c r="C364" s="1" t="n">
        <v>45357</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6715-2020</t>
        </is>
      </c>
      <c r="B365" s="1" t="n">
        <v>43866</v>
      </c>
      <c r="C365" s="1" t="n">
        <v>45357</v>
      </c>
      <c r="D365" t="inlineStr">
        <is>
          <t>JÄMTLANDS LÄN</t>
        </is>
      </c>
      <c r="E365" t="inlineStr">
        <is>
          <t>HÄRJEDALEN</t>
        </is>
      </c>
      <c r="G365" t="n">
        <v>7.5</v>
      </c>
      <c r="H365" t="n">
        <v>0</v>
      </c>
      <c r="I365" t="n">
        <v>0</v>
      </c>
      <c r="J365" t="n">
        <v>0</v>
      </c>
      <c r="K365" t="n">
        <v>0</v>
      </c>
      <c r="L365" t="n">
        <v>0</v>
      </c>
      <c r="M365" t="n">
        <v>0</v>
      </c>
      <c r="N365" t="n">
        <v>0</v>
      </c>
      <c r="O365" t="n">
        <v>0</v>
      </c>
      <c r="P365" t="n">
        <v>0</v>
      </c>
      <c r="Q365" t="n">
        <v>0</v>
      </c>
      <c r="R365" s="2" t="inlineStr"/>
    </row>
    <row r="366" ht="15" customHeight="1">
      <c r="A366" t="inlineStr">
        <is>
          <t>A 6675-2020</t>
        </is>
      </c>
      <c r="B366" s="1" t="n">
        <v>43866</v>
      </c>
      <c r="C366" s="1" t="n">
        <v>45357</v>
      </c>
      <c r="D366" t="inlineStr">
        <is>
          <t>JÄMTLANDS LÄN</t>
        </is>
      </c>
      <c r="E366" t="inlineStr">
        <is>
          <t>HÄRJEDALEN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6584-2020</t>
        </is>
      </c>
      <c r="B367" s="1" t="n">
        <v>43867</v>
      </c>
      <c r="C367" s="1" t="n">
        <v>45357</v>
      </c>
      <c r="D367" t="inlineStr">
        <is>
          <t>JÄMTLANDS LÄN</t>
        </is>
      </c>
      <c r="E367" t="inlineStr">
        <is>
          <t>HÄRJEDALEN</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6903-2020</t>
        </is>
      </c>
      <c r="B368" s="1" t="n">
        <v>43867</v>
      </c>
      <c r="C368" s="1" t="n">
        <v>45357</v>
      </c>
      <c r="D368" t="inlineStr">
        <is>
          <t>JÄMTLANDS LÄN</t>
        </is>
      </c>
      <c r="E368" t="inlineStr">
        <is>
          <t>HÄRJEDALEN</t>
        </is>
      </c>
      <c r="G368" t="n">
        <v>10.5</v>
      </c>
      <c r="H368" t="n">
        <v>0</v>
      </c>
      <c r="I368" t="n">
        <v>0</v>
      </c>
      <c r="J368" t="n">
        <v>0</v>
      </c>
      <c r="K368" t="n">
        <v>0</v>
      </c>
      <c r="L368" t="n">
        <v>0</v>
      </c>
      <c r="M368" t="n">
        <v>0</v>
      </c>
      <c r="N368" t="n">
        <v>0</v>
      </c>
      <c r="O368" t="n">
        <v>0</v>
      </c>
      <c r="P368" t="n">
        <v>0</v>
      </c>
      <c r="Q368" t="n">
        <v>0</v>
      </c>
      <c r="R368" s="2" t="inlineStr"/>
    </row>
    <row r="369" ht="15" customHeight="1">
      <c r="A369" t="inlineStr">
        <is>
          <t>A 7184-2020</t>
        </is>
      </c>
      <c r="B369" s="1" t="n">
        <v>43871</v>
      </c>
      <c r="C369" s="1" t="n">
        <v>45357</v>
      </c>
      <c r="D369" t="inlineStr">
        <is>
          <t>JÄMTLANDS LÄN</t>
        </is>
      </c>
      <c r="E369" t="inlineStr">
        <is>
          <t>HÄRJEDALEN</t>
        </is>
      </c>
      <c r="G369" t="n">
        <v>41.4</v>
      </c>
      <c r="H369" t="n">
        <v>0</v>
      </c>
      <c r="I369" t="n">
        <v>0</v>
      </c>
      <c r="J369" t="n">
        <v>0</v>
      </c>
      <c r="K369" t="n">
        <v>0</v>
      </c>
      <c r="L369" t="n">
        <v>0</v>
      </c>
      <c r="M369" t="n">
        <v>0</v>
      </c>
      <c r="N369" t="n">
        <v>0</v>
      </c>
      <c r="O369" t="n">
        <v>0</v>
      </c>
      <c r="P369" t="n">
        <v>0</v>
      </c>
      <c r="Q369" t="n">
        <v>0</v>
      </c>
      <c r="R369" s="2" t="inlineStr"/>
    </row>
    <row r="370" ht="15" customHeight="1">
      <c r="A370" t="inlineStr">
        <is>
          <t>A 8111-2020</t>
        </is>
      </c>
      <c r="B370" s="1" t="n">
        <v>43874</v>
      </c>
      <c r="C370" s="1" t="n">
        <v>45357</v>
      </c>
      <c r="D370" t="inlineStr">
        <is>
          <t>JÄMTLANDS LÄN</t>
        </is>
      </c>
      <c r="E370" t="inlineStr">
        <is>
          <t>HÄRJEDALEN</t>
        </is>
      </c>
      <c r="G370" t="n">
        <v>15.4</v>
      </c>
      <c r="H370" t="n">
        <v>0</v>
      </c>
      <c r="I370" t="n">
        <v>0</v>
      </c>
      <c r="J370" t="n">
        <v>0</v>
      </c>
      <c r="K370" t="n">
        <v>0</v>
      </c>
      <c r="L370" t="n">
        <v>0</v>
      </c>
      <c r="M370" t="n">
        <v>0</v>
      </c>
      <c r="N370" t="n">
        <v>0</v>
      </c>
      <c r="O370" t="n">
        <v>0</v>
      </c>
      <c r="P370" t="n">
        <v>0</v>
      </c>
      <c r="Q370" t="n">
        <v>0</v>
      </c>
      <c r="R370" s="2" t="inlineStr"/>
    </row>
    <row r="371" ht="15" customHeight="1">
      <c r="A371" t="inlineStr">
        <is>
          <t>A 8762-2020</t>
        </is>
      </c>
      <c r="B371" s="1" t="n">
        <v>43875</v>
      </c>
      <c r="C371" s="1" t="n">
        <v>45357</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8908-2020</t>
        </is>
      </c>
      <c r="B372" s="1" t="n">
        <v>43878</v>
      </c>
      <c r="C372" s="1" t="n">
        <v>45357</v>
      </c>
      <c r="D372" t="inlineStr">
        <is>
          <t>JÄMTLANDS LÄN</t>
        </is>
      </c>
      <c r="E372" t="inlineStr">
        <is>
          <t>HÄRJEDALEN</t>
        </is>
      </c>
      <c r="G372" t="n">
        <v>18.1</v>
      </c>
      <c r="H372" t="n">
        <v>0</v>
      </c>
      <c r="I372" t="n">
        <v>0</v>
      </c>
      <c r="J372" t="n">
        <v>0</v>
      </c>
      <c r="K372" t="n">
        <v>0</v>
      </c>
      <c r="L372" t="n">
        <v>0</v>
      </c>
      <c r="M372" t="n">
        <v>0</v>
      </c>
      <c r="N372" t="n">
        <v>0</v>
      </c>
      <c r="O372" t="n">
        <v>0</v>
      </c>
      <c r="P372" t="n">
        <v>0</v>
      </c>
      <c r="Q372" t="n">
        <v>0</v>
      </c>
      <c r="R372" s="2" t="inlineStr"/>
    </row>
    <row r="373" ht="15" customHeight="1">
      <c r="A373" t="inlineStr">
        <is>
          <t>A 9034-2020</t>
        </is>
      </c>
      <c r="B373" s="1" t="n">
        <v>43879</v>
      </c>
      <c r="C373" s="1" t="n">
        <v>45357</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9591-2020</t>
        </is>
      </c>
      <c r="B374" s="1" t="n">
        <v>43881</v>
      </c>
      <c r="C374" s="1" t="n">
        <v>45357</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11731-2020</t>
        </is>
      </c>
      <c r="B375" s="1" t="n">
        <v>43894</v>
      </c>
      <c r="C375" s="1" t="n">
        <v>45357</v>
      </c>
      <c r="D375" t="inlineStr">
        <is>
          <t>JÄMTLANDS LÄN</t>
        </is>
      </c>
      <c r="E375" t="inlineStr">
        <is>
          <t>HÄRJEDALEN</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11816-2020</t>
        </is>
      </c>
      <c r="B376" s="1" t="n">
        <v>43894</v>
      </c>
      <c r="C376" s="1" t="n">
        <v>45357</v>
      </c>
      <c r="D376" t="inlineStr">
        <is>
          <t>JÄMTLANDS LÄN</t>
        </is>
      </c>
      <c r="E376" t="inlineStr">
        <is>
          <t>HÄRJEDALEN</t>
        </is>
      </c>
      <c r="F376" t="inlineStr">
        <is>
          <t>Holmen skog AB</t>
        </is>
      </c>
      <c r="G376" t="n">
        <v>20.4</v>
      </c>
      <c r="H376" t="n">
        <v>0</v>
      </c>
      <c r="I376" t="n">
        <v>0</v>
      </c>
      <c r="J376" t="n">
        <v>0</v>
      </c>
      <c r="K376" t="n">
        <v>0</v>
      </c>
      <c r="L376" t="n">
        <v>0</v>
      </c>
      <c r="M376" t="n">
        <v>0</v>
      </c>
      <c r="N376" t="n">
        <v>0</v>
      </c>
      <c r="O376" t="n">
        <v>0</v>
      </c>
      <c r="P376" t="n">
        <v>0</v>
      </c>
      <c r="Q376" t="n">
        <v>0</v>
      </c>
      <c r="R376" s="2" t="inlineStr"/>
    </row>
    <row r="377" ht="15" customHeight="1">
      <c r="A377" t="inlineStr">
        <is>
          <t>A 11818-2020</t>
        </is>
      </c>
      <c r="B377" s="1" t="n">
        <v>43894</v>
      </c>
      <c r="C377" s="1" t="n">
        <v>45357</v>
      </c>
      <c r="D377" t="inlineStr">
        <is>
          <t>JÄMTLANDS LÄN</t>
        </is>
      </c>
      <c r="E377" t="inlineStr">
        <is>
          <t>HÄRJEDALEN</t>
        </is>
      </c>
      <c r="F377" t="inlineStr">
        <is>
          <t>Holmen skog AB</t>
        </is>
      </c>
      <c r="G377" t="n">
        <v>6</v>
      </c>
      <c r="H377" t="n">
        <v>0</v>
      </c>
      <c r="I377" t="n">
        <v>0</v>
      </c>
      <c r="J377" t="n">
        <v>0</v>
      </c>
      <c r="K377" t="n">
        <v>0</v>
      </c>
      <c r="L377" t="n">
        <v>0</v>
      </c>
      <c r="M377" t="n">
        <v>0</v>
      </c>
      <c r="N377" t="n">
        <v>0</v>
      </c>
      <c r="O377" t="n">
        <v>0</v>
      </c>
      <c r="P377" t="n">
        <v>0</v>
      </c>
      <c r="Q377" t="n">
        <v>0</v>
      </c>
      <c r="R377" s="2" t="inlineStr"/>
    </row>
    <row r="378" ht="15" customHeight="1">
      <c r="A378" t="inlineStr">
        <is>
          <t>A 11885-2020</t>
        </is>
      </c>
      <c r="B378" s="1" t="n">
        <v>43894</v>
      </c>
      <c r="C378" s="1" t="n">
        <v>45357</v>
      </c>
      <c r="D378" t="inlineStr">
        <is>
          <t>JÄMTLANDS LÄN</t>
        </is>
      </c>
      <c r="E378" t="inlineStr">
        <is>
          <t>HÄRJEDALEN</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11828-2020</t>
        </is>
      </c>
      <c r="B379" s="1" t="n">
        <v>43894</v>
      </c>
      <c r="C379" s="1" t="n">
        <v>45357</v>
      </c>
      <c r="D379" t="inlineStr">
        <is>
          <t>JÄMTLANDS LÄN</t>
        </is>
      </c>
      <c r="E379" t="inlineStr">
        <is>
          <t>HÄRJEDALEN</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11905-2020</t>
        </is>
      </c>
      <c r="B380" s="1" t="n">
        <v>43894</v>
      </c>
      <c r="C380" s="1" t="n">
        <v>45357</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13604-2020</t>
        </is>
      </c>
      <c r="B381" s="1" t="n">
        <v>43895</v>
      </c>
      <c r="C381" s="1" t="n">
        <v>45357</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12398-2020</t>
        </is>
      </c>
      <c r="B382" s="1" t="n">
        <v>43896</v>
      </c>
      <c r="C382" s="1" t="n">
        <v>45357</v>
      </c>
      <c r="D382" t="inlineStr">
        <is>
          <t>JÄMTLANDS LÄN</t>
        </is>
      </c>
      <c r="E382" t="inlineStr">
        <is>
          <t>HÄRJEDALEN</t>
        </is>
      </c>
      <c r="G382" t="n">
        <v>12.3</v>
      </c>
      <c r="H382" t="n">
        <v>0</v>
      </c>
      <c r="I382" t="n">
        <v>0</v>
      </c>
      <c r="J382" t="n">
        <v>0</v>
      </c>
      <c r="K382" t="n">
        <v>0</v>
      </c>
      <c r="L382" t="n">
        <v>0</v>
      </c>
      <c r="M382" t="n">
        <v>0</v>
      </c>
      <c r="N382" t="n">
        <v>0</v>
      </c>
      <c r="O382" t="n">
        <v>0</v>
      </c>
      <c r="P382" t="n">
        <v>0</v>
      </c>
      <c r="Q382" t="n">
        <v>0</v>
      </c>
      <c r="R382" s="2" t="inlineStr"/>
    </row>
    <row r="383" ht="15" customHeight="1">
      <c r="A383" t="inlineStr">
        <is>
          <t>A 12410-2020</t>
        </is>
      </c>
      <c r="B383" s="1" t="n">
        <v>43896</v>
      </c>
      <c r="C383" s="1" t="n">
        <v>45357</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13588-2020</t>
        </is>
      </c>
      <c r="B384" s="1" t="n">
        <v>43896</v>
      </c>
      <c r="C384" s="1" t="n">
        <v>45357</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12898-2020</t>
        </is>
      </c>
      <c r="B385" s="1" t="n">
        <v>43900</v>
      </c>
      <c r="C385" s="1" t="n">
        <v>45357</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15020-2020</t>
        </is>
      </c>
      <c r="B386" s="1" t="n">
        <v>43907</v>
      </c>
      <c r="C386" s="1" t="n">
        <v>45357</v>
      </c>
      <c r="D386" t="inlineStr">
        <is>
          <t>JÄMTLANDS LÄN</t>
        </is>
      </c>
      <c r="E386" t="inlineStr">
        <is>
          <t>HÄRJEDALEN</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15576-2020</t>
        </is>
      </c>
      <c r="B387" s="1" t="n">
        <v>43914</v>
      </c>
      <c r="C387" s="1" t="n">
        <v>45357</v>
      </c>
      <c r="D387" t="inlineStr">
        <is>
          <t>JÄMTLANDS LÄN</t>
        </is>
      </c>
      <c r="E387" t="inlineStr">
        <is>
          <t>HÄRJEDALEN</t>
        </is>
      </c>
      <c r="F387" t="inlineStr">
        <is>
          <t>Kyrkan</t>
        </is>
      </c>
      <c r="G387" t="n">
        <v>8.1</v>
      </c>
      <c r="H387" t="n">
        <v>0</v>
      </c>
      <c r="I387" t="n">
        <v>0</v>
      </c>
      <c r="J387" t="n">
        <v>0</v>
      </c>
      <c r="K387" t="n">
        <v>0</v>
      </c>
      <c r="L387" t="n">
        <v>0</v>
      </c>
      <c r="M387" t="n">
        <v>0</v>
      </c>
      <c r="N387" t="n">
        <v>0</v>
      </c>
      <c r="O387" t="n">
        <v>0</v>
      </c>
      <c r="P387" t="n">
        <v>0</v>
      </c>
      <c r="Q387" t="n">
        <v>0</v>
      </c>
      <c r="R387" s="2" t="inlineStr"/>
    </row>
    <row r="388" ht="15" customHeight="1">
      <c r="A388" t="inlineStr">
        <is>
          <t>A 17515-2020</t>
        </is>
      </c>
      <c r="B388" s="1" t="n">
        <v>43920</v>
      </c>
      <c r="C388" s="1" t="n">
        <v>45357</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17024-2020</t>
        </is>
      </c>
      <c r="B389" s="1" t="n">
        <v>43921</v>
      </c>
      <c r="C389" s="1" t="n">
        <v>45357</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17676-2020</t>
        </is>
      </c>
      <c r="B390" s="1" t="n">
        <v>43924</v>
      </c>
      <c r="C390" s="1" t="n">
        <v>45357</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18038-2020</t>
        </is>
      </c>
      <c r="B391" s="1" t="n">
        <v>43927</v>
      </c>
      <c r="C391" s="1" t="n">
        <v>45357</v>
      </c>
      <c r="D391" t="inlineStr">
        <is>
          <t>JÄMTLANDS LÄN</t>
        </is>
      </c>
      <c r="E391" t="inlineStr">
        <is>
          <t>HÄRJEDALEN</t>
        </is>
      </c>
      <c r="G391" t="n">
        <v>13.5</v>
      </c>
      <c r="H391" t="n">
        <v>0</v>
      </c>
      <c r="I391" t="n">
        <v>0</v>
      </c>
      <c r="J391" t="n">
        <v>0</v>
      </c>
      <c r="K391" t="n">
        <v>0</v>
      </c>
      <c r="L391" t="n">
        <v>0</v>
      </c>
      <c r="M391" t="n">
        <v>0</v>
      </c>
      <c r="N391" t="n">
        <v>0</v>
      </c>
      <c r="O391" t="n">
        <v>0</v>
      </c>
      <c r="P391" t="n">
        <v>0</v>
      </c>
      <c r="Q391" t="n">
        <v>0</v>
      </c>
      <c r="R391" s="2" t="inlineStr"/>
    </row>
    <row r="392" ht="15" customHeight="1">
      <c r="A392" t="inlineStr">
        <is>
          <t>A 18761-2020</t>
        </is>
      </c>
      <c r="B392" s="1" t="n">
        <v>43930</v>
      </c>
      <c r="C392" s="1" t="n">
        <v>45357</v>
      </c>
      <c r="D392" t="inlineStr">
        <is>
          <t>JÄMTLANDS LÄN</t>
        </is>
      </c>
      <c r="E392" t="inlineStr">
        <is>
          <t>HÄRJEDALEN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18760-2020</t>
        </is>
      </c>
      <c r="B393" s="1" t="n">
        <v>43930</v>
      </c>
      <c r="C393" s="1" t="n">
        <v>45357</v>
      </c>
      <c r="D393" t="inlineStr">
        <is>
          <t>JÄMTLANDS LÄN</t>
        </is>
      </c>
      <c r="E393" t="inlineStr">
        <is>
          <t>HÄRJEDALEN</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18759-2020</t>
        </is>
      </c>
      <c r="B394" s="1" t="n">
        <v>43930</v>
      </c>
      <c r="C394" s="1" t="n">
        <v>45357</v>
      </c>
      <c r="D394" t="inlineStr">
        <is>
          <t>JÄMTLANDS LÄN</t>
        </is>
      </c>
      <c r="E394" t="inlineStr">
        <is>
          <t>HÄRJEDALEN</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18877-2020</t>
        </is>
      </c>
      <c r="B395" s="1" t="n">
        <v>43935</v>
      </c>
      <c r="C395" s="1" t="n">
        <v>45357</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18879-2020</t>
        </is>
      </c>
      <c r="B396" s="1" t="n">
        <v>43935</v>
      </c>
      <c r="C396" s="1" t="n">
        <v>45357</v>
      </c>
      <c r="D396" t="inlineStr">
        <is>
          <t>JÄMTLANDS LÄN</t>
        </is>
      </c>
      <c r="E396" t="inlineStr">
        <is>
          <t>HÄRJEDALEN</t>
        </is>
      </c>
      <c r="G396" t="n">
        <v>5.5</v>
      </c>
      <c r="H396" t="n">
        <v>0</v>
      </c>
      <c r="I396" t="n">
        <v>0</v>
      </c>
      <c r="J396" t="n">
        <v>0</v>
      </c>
      <c r="K396" t="n">
        <v>0</v>
      </c>
      <c r="L396" t="n">
        <v>0</v>
      </c>
      <c r="M396" t="n">
        <v>0</v>
      </c>
      <c r="N396" t="n">
        <v>0</v>
      </c>
      <c r="O396" t="n">
        <v>0</v>
      </c>
      <c r="P396" t="n">
        <v>0</v>
      </c>
      <c r="Q396" t="n">
        <v>0</v>
      </c>
      <c r="R396" s="2" t="inlineStr"/>
    </row>
    <row r="397" ht="15" customHeight="1">
      <c r="A397" t="inlineStr">
        <is>
          <t>A 19304-2020</t>
        </is>
      </c>
      <c r="B397" s="1" t="n">
        <v>43937</v>
      </c>
      <c r="C397" s="1" t="n">
        <v>45357</v>
      </c>
      <c r="D397" t="inlineStr">
        <is>
          <t>JÄMTLANDS LÄN</t>
        </is>
      </c>
      <c r="E397" t="inlineStr">
        <is>
          <t>HÄRJEDALEN</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19506-2020</t>
        </is>
      </c>
      <c r="B398" s="1" t="n">
        <v>43938</v>
      </c>
      <c r="C398" s="1" t="n">
        <v>45357</v>
      </c>
      <c r="D398" t="inlineStr">
        <is>
          <t>JÄMTLANDS LÄN</t>
        </is>
      </c>
      <c r="E398" t="inlineStr">
        <is>
          <t>HÄRJEDALEN</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20781-2020</t>
        </is>
      </c>
      <c r="B399" s="1" t="n">
        <v>43949</v>
      </c>
      <c r="C399" s="1" t="n">
        <v>45357</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21537-2020</t>
        </is>
      </c>
      <c r="B400" s="1" t="n">
        <v>43956</v>
      </c>
      <c r="C400" s="1" t="n">
        <v>45357</v>
      </c>
      <c r="D400" t="inlineStr">
        <is>
          <t>JÄMTLANDS LÄN</t>
        </is>
      </c>
      <c r="E400" t="inlineStr">
        <is>
          <t>HÄRJEDALEN</t>
        </is>
      </c>
      <c r="G400" t="n">
        <v>4.3</v>
      </c>
      <c r="H400" t="n">
        <v>0</v>
      </c>
      <c r="I400" t="n">
        <v>0</v>
      </c>
      <c r="J400" t="n">
        <v>0</v>
      </c>
      <c r="K400" t="n">
        <v>0</v>
      </c>
      <c r="L400" t="n">
        <v>0</v>
      </c>
      <c r="M400" t="n">
        <v>0</v>
      </c>
      <c r="N400" t="n">
        <v>0</v>
      </c>
      <c r="O400" t="n">
        <v>0</v>
      </c>
      <c r="P400" t="n">
        <v>0</v>
      </c>
      <c r="Q400" t="n">
        <v>0</v>
      </c>
      <c r="R400" s="2" t="inlineStr"/>
    </row>
    <row r="401" ht="15" customHeight="1">
      <c r="A401" t="inlineStr">
        <is>
          <t>A 23082-2020</t>
        </is>
      </c>
      <c r="B401" s="1" t="n">
        <v>43964</v>
      </c>
      <c r="C401" s="1" t="n">
        <v>45357</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23310-2020</t>
        </is>
      </c>
      <c r="B402" s="1" t="n">
        <v>43966</v>
      </c>
      <c r="C402" s="1" t="n">
        <v>45357</v>
      </c>
      <c r="D402" t="inlineStr">
        <is>
          <t>JÄMTLANDS LÄN</t>
        </is>
      </c>
      <c r="E402" t="inlineStr">
        <is>
          <t>HÄRJEDALEN</t>
        </is>
      </c>
      <c r="G402" t="n">
        <v>1.6</v>
      </c>
      <c r="H402" t="n">
        <v>0</v>
      </c>
      <c r="I402" t="n">
        <v>0</v>
      </c>
      <c r="J402" t="n">
        <v>0</v>
      </c>
      <c r="K402" t="n">
        <v>0</v>
      </c>
      <c r="L402" t="n">
        <v>0</v>
      </c>
      <c r="M402" t="n">
        <v>0</v>
      </c>
      <c r="N402" t="n">
        <v>0</v>
      </c>
      <c r="O402" t="n">
        <v>0</v>
      </c>
      <c r="P402" t="n">
        <v>0</v>
      </c>
      <c r="Q402" t="n">
        <v>0</v>
      </c>
      <c r="R402" s="2" t="inlineStr"/>
    </row>
    <row r="403" ht="15" customHeight="1">
      <c r="A403" t="inlineStr">
        <is>
          <t>A 23174-2020</t>
        </is>
      </c>
      <c r="B403" s="1" t="n">
        <v>43966</v>
      </c>
      <c r="C403" s="1" t="n">
        <v>45357</v>
      </c>
      <c r="D403" t="inlineStr">
        <is>
          <t>JÄMTLANDS LÄN</t>
        </is>
      </c>
      <c r="E403" t="inlineStr">
        <is>
          <t>HÄRJEDALEN</t>
        </is>
      </c>
      <c r="G403" t="n">
        <v>2.9</v>
      </c>
      <c r="H403" t="n">
        <v>0</v>
      </c>
      <c r="I403" t="n">
        <v>0</v>
      </c>
      <c r="J403" t="n">
        <v>0</v>
      </c>
      <c r="K403" t="n">
        <v>0</v>
      </c>
      <c r="L403" t="n">
        <v>0</v>
      </c>
      <c r="M403" t="n">
        <v>0</v>
      </c>
      <c r="N403" t="n">
        <v>0</v>
      </c>
      <c r="O403" t="n">
        <v>0</v>
      </c>
      <c r="P403" t="n">
        <v>0</v>
      </c>
      <c r="Q403" t="n">
        <v>0</v>
      </c>
      <c r="R403" s="2" t="inlineStr"/>
    </row>
    <row r="404" ht="15" customHeight="1">
      <c r="A404" t="inlineStr">
        <is>
          <t>A 23560-2020</t>
        </is>
      </c>
      <c r="B404" s="1" t="n">
        <v>43969</v>
      </c>
      <c r="C404" s="1" t="n">
        <v>45357</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24077-2020</t>
        </is>
      </c>
      <c r="B405" s="1" t="n">
        <v>43972</v>
      </c>
      <c r="C405" s="1" t="n">
        <v>45357</v>
      </c>
      <c r="D405" t="inlineStr">
        <is>
          <t>JÄMTLANDS LÄN</t>
        </is>
      </c>
      <c r="E405" t="inlineStr">
        <is>
          <t>HÄRJEDALEN</t>
        </is>
      </c>
      <c r="F405" t="inlineStr">
        <is>
          <t>Sveaskog</t>
        </is>
      </c>
      <c r="G405" t="n">
        <v>9.6</v>
      </c>
      <c r="H405" t="n">
        <v>0</v>
      </c>
      <c r="I405" t="n">
        <v>0</v>
      </c>
      <c r="J405" t="n">
        <v>0</v>
      </c>
      <c r="K405" t="n">
        <v>0</v>
      </c>
      <c r="L405" t="n">
        <v>0</v>
      </c>
      <c r="M405" t="n">
        <v>0</v>
      </c>
      <c r="N405" t="n">
        <v>0</v>
      </c>
      <c r="O405" t="n">
        <v>0</v>
      </c>
      <c r="P405" t="n">
        <v>0</v>
      </c>
      <c r="Q405" t="n">
        <v>0</v>
      </c>
      <c r="R405" s="2" t="inlineStr"/>
    </row>
    <row r="406" ht="15" customHeight="1">
      <c r="A406" t="inlineStr">
        <is>
          <t>A 24127-2020</t>
        </is>
      </c>
      <c r="B406" s="1" t="n">
        <v>43973</v>
      </c>
      <c r="C406" s="1" t="n">
        <v>45357</v>
      </c>
      <c r="D406" t="inlineStr">
        <is>
          <t>JÄMTLANDS LÄN</t>
        </is>
      </c>
      <c r="E406" t="inlineStr">
        <is>
          <t>HÄRJEDALEN</t>
        </is>
      </c>
      <c r="G406" t="n">
        <v>4.6</v>
      </c>
      <c r="H406" t="n">
        <v>0</v>
      </c>
      <c r="I406" t="n">
        <v>0</v>
      </c>
      <c r="J406" t="n">
        <v>0</v>
      </c>
      <c r="K406" t="n">
        <v>0</v>
      </c>
      <c r="L406" t="n">
        <v>0</v>
      </c>
      <c r="M406" t="n">
        <v>0</v>
      </c>
      <c r="N406" t="n">
        <v>0</v>
      </c>
      <c r="O406" t="n">
        <v>0</v>
      </c>
      <c r="P406" t="n">
        <v>0</v>
      </c>
      <c r="Q406" t="n">
        <v>0</v>
      </c>
      <c r="R406" s="2" t="inlineStr"/>
    </row>
    <row r="407" ht="15" customHeight="1">
      <c r="A407" t="inlineStr">
        <is>
          <t>A 25240-2020</t>
        </is>
      </c>
      <c r="B407" s="1" t="n">
        <v>43980</v>
      </c>
      <c r="C407" s="1" t="n">
        <v>45357</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25341-2020</t>
        </is>
      </c>
      <c r="B408" s="1" t="n">
        <v>43980</v>
      </c>
      <c r="C408" s="1" t="n">
        <v>45357</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25232-2020</t>
        </is>
      </c>
      <c r="B409" s="1" t="n">
        <v>43980</v>
      </c>
      <c r="C409" s="1" t="n">
        <v>45357</v>
      </c>
      <c r="D409" t="inlineStr">
        <is>
          <t>JÄMTLANDS LÄN</t>
        </is>
      </c>
      <c r="E409" t="inlineStr">
        <is>
          <t>HÄRJEDALEN</t>
        </is>
      </c>
      <c r="G409" t="n">
        <v>14.9</v>
      </c>
      <c r="H409" t="n">
        <v>0</v>
      </c>
      <c r="I409" t="n">
        <v>0</v>
      </c>
      <c r="J409" t="n">
        <v>0</v>
      </c>
      <c r="K409" t="n">
        <v>0</v>
      </c>
      <c r="L409" t="n">
        <v>0</v>
      </c>
      <c r="M409" t="n">
        <v>0</v>
      </c>
      <c r="N409" t="n">
        <v>0</v>
      </c>
      <c r="O409" t="n">
        <v>0</v>
      </c>
      <c r="P409" t="n">
        <v>0</v>
      </c>
      <c r="Q409" t="n">
        <v>0</v>
      </c>
      <c r="R409" s="2" t="inlineStr"/>
    </row>
    <row r="410" ht="15" customHeight="1">
      <c r="A410" t="inlineStr">
        <is>
          <t>A 25238-2020</t>
        </is>
      </c>
      <c r="B410" s="1" t="n">
        <v>43980</v>
      </c>
      <c r="C410" s="1" t="n">
        <v>45357</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25236-2020</t>
        </is>
      </c>
      <c r="B411" s="1" t="n">
        <v>43980</v>
      </c>
      <c r="C411" s="1" t="n">
        <v>45357</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25779-2020</t>
        </is>
      </c>
      <c r="B412" s="1" t="n">
        <v>43984</v>
      </c>
      <c r="C412" s="1" t="n">
        <v>45357</v>
      </c>
      <c r="D412" t="inlineStr">
        <is>
          <t>JÄMTLANDS LÄN</t>
        </is>
      </c>
      <c r="E412" t="inlineStr">
        <is>
          <t>HÄRJEDALEN</t>
        </is>
      </c>
      <c r="G412" t="n">
        <v>22.2</v>
      </c>
      <c r="H412" t="n">
        <v>0</v>
      </c>
      <c r="I412" t="n">
        <v>0</v>
      </c>
      <c r="J412" t="n">
        <v>0</v>
      </c>
      <c r="K412" t="n">
        <v>0</v>
      </c>
      <c r="L412" t="n">
        <v>0</v>
      </c>
      <c r="M412" t="n">
        <v>0</v>
      </c>
      <c r="N412" t="n">
        <v>0</v>
      </c>
      <c r="O412" t="n">
        <v>0</v>
      </c>
      <c r="P412" t="n">
        <v>0</v>
      </c>
      <c r="Q412" t="n">
        <v>0</v>
      </c>
      <c r="R412" s="2" t="inlineStr"/>
    </row>
    <row r="413" ht="15" customHeight="1">
      <c r="A413" t="inlineStr">
        <is>
          <t>A 26056-2020</t>
        </is>
      </c>
      <c r="B413" s="1" t="n">
        <v>43984</v>
      </c>
      <c r="C413" s="1" t="n">
        <v>45357</v>
      </c>
      <c r="D413" t="inlineStr">
        <is>
          <t>JÄMTLANDS LÄN</t>
        </is>
      </c>
      <c r="E413" t="inlineStr">
        <is>
          <t>HÄRJEDALEN</t>
        </is>
      </c>
      <c r="G413" t="n">
        <v>53.1</v>
      </c>
      <c r="H413" t="n">
        <v>0</v>
      </c>
      <c r="I413" t="n">
        <v>0</v>
      </c>
      <c r="J413" t="n">
        <v>0</v>
      </c>
      <c r="K413" t="n">
        <v>0</v>
      </c>
      <c r="L413" t="n">
        <v>0</v>
      </c>
      <c r="M413" t="n">
        <v>0</v>
      </c>
      <c r="N413" t="n">
        <v>0</v>
      </c>
      <c r="O413" t="n">
        <v>0</v>
      </c>
      <c r="P413" t="n">
        <v>0</v>
      </c>
      <c r="Q413" t="n">
        <v>0</v>
      </c>
      <c r="R413" s="2" t="inlineStr"/>
    </row>
    <row r="414" ht="15" customHeight="1">
      <c r="A414" t="inlineStr">
        <is>
          <t>A 27854-2020</t>
        </is>
      </c>
      <c r="B414" s="1" t="n">
        <v>43994</v>
      </c>
      <c r="C414" s="1" t="n">
        <v>45357</v>
      </c>
      <c r="D414" t="inlineStr">
        <is>
          <t>JÄMTLANDS LÄN</t>
        </is>
      </c>
      <c r="E414" t="inlineStr">
        <is>
          <t>HÄRJEDALEN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28543-2020</t>
        </is>
      </c>
      <c r="B415" s="1" t="n">
        <v>43999</v>
      </c>
      <c r="C415" s="1" t="n">
        <v>45357</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29158-2020</t>
        </is>
      </c>
      <c r="B416" s="1" t="n">
        <v>44004</v>
      </c>
      <c r="C416" s="1" t="n">
        <v>45357</v>
      </c>
      <c r="D416" t="inlineStr">
        <is>
          <t>JÄMTLANDS LÄN</t>
        </is>
      </c>
      <c r="E416" t="inlineStr">
        <is>
          <t>HÄRJEDALEN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29154-2020</t>
        </is>
      </c>
      <c r="B417" s="1" t="n">
        <v>44004</v>
      </c>
      <c r="C417" s="1" t="n">
        <v>45357</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30963-2020</t>
        </is>
      </c>
      <c r="B418" s="1" t="n">
        <v>44011</v>
      </c>
      <c r="C418" s="1" t="n">
        <v>45357</v>
      </c>
      <c r="D418" t="inlineStr">
        <is>
          <t>JÄMTLANDS LÄN</t>
        </is>
      </c>
      <c r="E418" t="inlineStr">
        <is>
          <t>HÄRJEDALEN</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30936-2020</t>
        </is>
      </c>
      <c r="B419" s="1" t="n">
        <v>44011</v>
      </c>
      <c r="C419" s="1" t="n">
        <v>45357</v>
      </c>
      <c r="D419" t="inlineStr">
        <is>
          <t>JÄMTLANDS LÄN</t>
        </is>
      </c>
      <c r="E419" t="inlineStr">
        <is>
          <t>HÄRJEDALEN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30940-2020</t>
        </is>
      </c>
      <c r="B420" s="1" t="n">
        <v>44011</v>
      </c>
      <c r="C420" s="1" t="n">
        <v>45357</v>
      </c>
      <c r="D420" t="inlineStr">
        <is>
          <t>JÄMTLANDS LÄN</t>
        </is>
      </c>
      <c r="E420" t="inlineStr">
        <is>
          <t>HÄRJEDALEN</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31264-2020</t>
        </is>
      </c>
      <c r="B421" s="1" t="n">
        <v>44012</v>
      </c>
      <c r="C421" s="1" t="n">
        <v>45357</v>
      </c>
      <c r="D421" t="inlineStr">
        <is>
          <t>JÄMTLANDS LÄN</t>
        </is>
      </c>
      <c r="E421" t="inlineStr">
        <is>
          <t>HÄRJEDALEN</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31872-2020</t>
        </is>
      </c>
      <c r="B422" s="1" t="n">
        <v>44014</v>
      </c>
      <c r="C422" s="1" t="n">
        <v>45357</v>
      </c>
      <c r="D422" t="inlineStr">
        <is>
          <t>JÄMTLANDS LÄN</t>
        </is>
      </c>
      <c r="E422" t="inlineStr">
        <is>
          <t>HÄRJEDALEN</t>
        </is>
      </c>
      <c r="G422" t="n">
        <v>21.4</v>
      </c>
      <c r="H422" t="n">
        <v>0</v>
      </c>
      <c r="I422" t="n">
        <v>0</v>
      </c>
      <c r="J422" t="n">
        <v>0</v>
      </c>
      <c r="K422" t="n">
        <v>0</v>
      </c>
      <c r="L422" t="n">
        <v>0</v>
      </c>
      <c r="M422" t="n">
        <v>0</v>
      </c>
      <c r="N422" t="n">
        <v>0</v>
      </c>
      <c r="O422" t="n">
        <v>0</v>
      </c>
      <c r="P422" t="n">
        <v>0</v>
      </c>
      <c r="Q422" t="n">
        <v>0</v>
      </c>
      <c r="R422" s="2" t="inlineStr"/>
    </row>
    <row r="423" ht="15" customHeight="1">
      <c r="A423" t="inlineStr">
        <is>
          <t>A 31920-2020</t>
        </is>
      </c>
      <c r="B423" s="1" t="n">
        <v>44014</v>
      </c>
      <c r="C423" s="1" t="n">
        <v>45357</v>
      </c>
      <c r="D423" t="inlineStr">
        <is>
          <t>JÄMTLANDS LÄN</t>
        </is>
      </c>
      <c r="E423" t="inlineStr">
        <is>
          <t>HÄRJEDALEN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33020-2020</t>
        </is>
      </c>
      <c r="B424" s="1" t="n">
        <v>44021</v>
      </c>
      <c r="C424" s="1" t="n">
        <v>45357</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33812-2020</t>
        </is>
      </c>
      <c r="B425" s="1" t="n">
        <v>44025</v>
      </c>
      <c r="C425" s="1" t="n">
        <v>45357</v>
      </c>
      <c r="D425" t="inlineStr">
        <is>
          <t>JÄMTLANDS LÄN</t>
        </is>
      </c>
      <c r="E425" t="inlineStr">
        <is>
          <t>HÄRJEDALEN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33513-2020</t>
        </is>
      </c>
      <c r="B426" s="1" t="n">
        <v>44025</v>
      </c>
      <c r="C426" s="1" t="n">
        <v>45357</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33701-2020</t>
        </is>
      </c>
      <c r="B427" s="1" t="n">
        <v>44026</v>
      </c>
      <c r="C427" s="1" t="n">
        <v>45357</v>
      </c>
      <c r="D427" t="inlineStr">
        <is>
          <t>JÄMTLANDS LÄN</t>
        </is>
      </c>
      <c r="E427" t="inlineStr">
        <is>
          <t>HÄRJEDALEN</t>
        </is>
      </c>
      <c r="F427" t="inlineStr">
        <is>
          <t>Bergvik skog väst AB</t>
        </is>
      </c>
      <c r="G427" t="n">
        <v>7.2</v>
      </c>
      <c r="H427" t="n">
        <v>0</v>
      </c>
      <c r="I427" t="n">
        <v>0</v>
      </c>
      <c r="J427" t="n">
        <v>0</v>
      </c>
      <c r="K427" t="n">
        <v>0</v>
      </c>
      <c r="L427" t="n">
        <v>0</v>
      </c>
      <c r="M427" t="n">
        <v>0</v>
      </c>
      <c r="N427" t="n">
        <v>0</v>
      </c>
      <c r="O427" t="n">
        <v>0</v>
      </c>
      <c r="P427" t="n">
        <v>0</v>
      </c>
      <c r="Q427" t="n">
        <v>0</v>
      </c>
      <c r="R427" s="2" t="inlineStr"/>
    </row>
    <row r="428" ht="15" customHeight="1">
      <c r="A428" t="inlineStr">
        <is>
          <t>A 33942-2020</t>
        </is>
      </c>
      <c r="B428" s="1" t="n">
        <v>44028</v>
      </c>
      <c r="C428" s="1" t="n">
        <v>45357</v>
      </c>
      <c r="D428" t="inlineStr">
        <is>
          <t>JÄMTLANDS LÄN</t>
        </is>
      </c>
      <c r="E428" t="inlineStr">
        <is>
          <t>HÄRJEDALEN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34191-2020</t>
        </is>
      </c>
      <c r="B429" s="1" t="n">
        <v>44029</v>
      </c>
      <c r="C429" s="1" t="n">
        <v>45357</v>
      </c>
      <c r="D429" t="inlineStr">
        <is>
          <t>JÄMTLANDS LÄN</t>
        </is>
      </c>
      <c r="E429" t="inlineStr">
        <is>
          <t>HÄRJEDALEN</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45357</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45357</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45357</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45357</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35160-2020</t>
        </is>
      </c>
      <c r="B434" s="1" t="n">
        <v>44040</v>
      </c>
      <c r="C434" s="1" t="n">
        <v>45357</v>
      </c>
      <c r="D434" t="inlineStr">
        <is>
          <t>JÄMTLANDS LÄN</t>
        </is>
      </c>
      <c r="E434" t="inlineStr">
        <is>
          <t>HÄRJEDALEN</t>
        </is>
      </c>
      <c r="F434" t="inlineStr">
        <is>
          <t>Bergvik skog väst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35436-2020</t>
        </is>
      </c>
      <c r="B435" s="1" t="n">
        <v>44042</v>
      </c>
      <c r="C435" s="1" t="n">
        <v>45357</v>
      </c>
      <c r="D435" t="inlineStr">
        <is>
          <t>JÄMTLANDS LÄN</t>
        </is>
      </c>
      <c r="E435" t="inlineStr">
        <is>
          <t>HÄRJEDALEN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35548-2020</t>
        </is>
      </c>
      <c r="B436" s="1" t="n">
        <v>44043</v>
      </c>
      <c r="C436" s="1" t="n">
        <v>45357</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36471-2020</t>
        </is>
      </c>
      <c r="B437" s="1" t="n">
        <v>44050</v>
      </c>
      <c r="C437" s="1" t="n">
        <v>45357</v>
      </c>
      <c r="D437" t="inlineStr">
        <is>
          <t>JÄMTLANDS LÄN</t>
        </is>
      </c>
      <c r="E437" t="inlineStr">
        <is>
          <t>HÄRJEDALEN</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36790-2020</t>
        </is>
      </c>
      <c r="B438" s="1" t="n">
        <v>44053</v>
      </c>
      <c r="C438" s="1" t="n">
        <v>45357</v>
      </c>
      <c r="D438" t="inlineStr">
        <is>
          <t>JÄMTLANDS LÄN</t>
        </is>
      </c>
      <c r="E438" t="inlineStr">
        <is>
          <t>HÄRJEDALEN</t>
        </is>
      </c>
      <c r="G438" t="n">
        <v>3.8</v>
      </c>
      <c r="H438" t="n">
        <v>0</v>
      </c>
      <c r="I438" t="n">
        <v>0</v>
      </c>
      <c r="J438" t="n">
        <v>0</v>
      </c>
      <c r="K438" t="n">
        <v>0</v>
      </c>
      <c r="L438" t="n">
        <v>0</v>
      </c>
      <c r="M438" t="n">
        <v>0</v>
      </c>
      <c r="N438" t="n">
        <v>0</v>
      </c>
      <c r="O438" t="n">
        <v>0</v>
      </c>
      <c r="P438" t="n">
        <v>0</v>
      </c>
      <c r="Q438" t="n">
        <v>0</v>
      </c>
      <c r="R438" s="2" t="inlineStr"/>
    </row>
    <row r="439" ht="15" customHeight="1">
      <c r="A439" t="inlineStr">
        <is>
          <t>A 37780-2020</t>
        </is>
      </c>
      <c r="B439" s="1" t="n">
        <v>44056</v>
      </c>
      <c r="C439" s="1" t="n">
        <v>45357</v>
      </c>
      <c r="D439" t="inlineStr">
        <is>
          <t>JÄMTLANDS LÄN</t>
        </is>
      </c>
      <c r="E439" t="inlineStr">
        <is>
          <t>HÄRJEDALEN</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38044-2020</t>
        </is>
      </c>
      <c r="B440" s="1" t="n">
        <v>44057</v>
      </c>
      <c r="C440" s="1" t="n">
        <v>45357</v>
      </c>
      <c r="D440" t="inlineStr">
        <is>
          <t>JÄMTLANDS LÄN</t>
        </is>
      </c>
      <c r="E440" t="inlineStr">
        <is>
          <t>HÄRJEDALEN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38107-2020</t>
        </is>
      </c>
      <c r="B441" s="1" t="n">
        <v>44057</v>
      </c>
      <c r="C441" s="1" t="n">
        <v>45357</v>
      </c>
      <c r="D441" t="inlineStr">
        <is>
          <t>JÄMTLANDS LÄN</t>
        </is>
      </c>
      <c r="E441" t="inlineStr">
        <is>
          <t>HÄRJEDALEN</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38403-2020</t>
        </is>
      </c>
      <c r="B442" s="1" t="n">
        <v>44060</v>
      </c>
      <c r="C442" s="1" t="n">
        <v>45357</v>
      </c>
      <c r="D442" t="inlineStr">
        <is>
          <t>JÄMTLANDS LÄN</t>
        </is>
      </c>
      <c r="E442" t="inlineStr">
        <is>
          <t>HÄRJEDALEN</t>
        </is>
      </c>
      <c r="G442" t="n">
        <v>4.7</v>
      </c>
      <c r="H442" t="n">
        <v>0</v>
      </c>
      <c r="I442" t="n">
        <v>0</v>
      </c>
      <c r="J442" t="n">
        <v>0</v>
      </c>
      <c r="K442" t="n">
        <v>0</v>
      </c>
      <c r="L442" t="n">
        <v>0</v>
      </c>
      <c r="M442" t="n">
        <v>0</v>
      </c>
      <c r="N442" t="n">
        <v>0</v>
      </c>
      <c r="O442" t="n">
        <v>0</v>
      </c>
      <c r="P442" t="n">
        <v>0</v>
      </c>
      <c r="Q442" t="n">
        <v>0</v>
      </c>
      <c r="R442" s="2" t="inlineStr"/>
      <c r="U442">
        <f>HYPERLINK("https://klasma.github.io/Logging_2361/knärot/A 38403-2020 karta knärot.png", "A 38403-2020")</f>
        <v/>
      </c>
      <c r="V442">
        <f>HYPERLINK("https://klasma.github.io/Logging_2361/klagomål/A 38403-2020 FSC-klagomål.docx", "A 38403-2020")</f>
        <v/>
      </c>
      <c r="W442">
        <f>HYPERLINK("https://klasma.github.io/Logging_2361/klagomålsmail/A 38403-2020 FSC-klagomål mail.docx", "A 38403-2020")</f>
        <v/>
      </c>
      <c r="X442">
        <f>HYPERLINK("https://klasma.github.io/Logging_2361/tillsyn/A 38403-2020 tillsynsbegäran.docx", "A 38403-2020")</f>
        <v/>
      </c>
      <c r="Y442">
        <f>HYPERLINK("https://klasma.github.io/Logging_2361/tillsynsmail/A 38403-2020 tillsynsbegäran mail.docx", "A 38403-2020")</f>
        <v/>
      </c>
    </row>
    <row r="443" ht="15" customHeight="1">
      <c r="A443" t="inlineStr">
        <is>
          <t>A 42078-2020</t>
        </is>
      </c>
      <c r="B443" s="1" t="n">
        <v>44075</v>
      </c>
      <c r="C443" s="1" t="n">
        <v>45357</v>
      </c>
      <c r="D443" t="inlineStr">
        <is>
          <t>JÄMTLANDS LÄN</t>
        </is>
      </c>
      <c r="E443" t="inlineStr">
        <is>
          <t>HÄRJEDALEN</t>
        </is>
      </c>
      <c r="G443" t="n">
        <v>3.9</v>
      </c>
      <c r="H443" t="n">
        <v>0</v>
      </c>
      <c r="I443" t="n">
        <v>0</v>
      </c>
      <c r="J443" t="n">
        <v>0</v>
      </c>
      <c r="K443" t="n">
        <v>0</v>
      </c>
      <c r="L443" t="n">
        <v>0</v>
      </c>
      <c r="M443" t="n">
        <v>0</v>
      </c>
      <c r="N443" t="n">
        <v>0</v>
      </c>
      <c r="O443" t="n">
        <v>0</v>
      </c>
      <c r="P443" t="n">
        <v>0</v>
      </c>
      <c r="Q443" t="n">
        <v>0</v>
      </c>
      <c r="R443" s="2" t="inlineStr"/>
    </row>
    <row r="444" ht="15" customHeight="1">
      <c r="A444" t="inlineStr">
        <is>
          <t>A 43417-2020</t>
        </is>
      </c>
      <c r="B444" s="1" t="n">
        <v>44078</v>
      </c>
      <c r="C444" s="1" t="n">
        <v>45357</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43748-2020</t>
        </is>
      </c>
      <c r="B445" s="1" t="n">
        <v>44082</v>
      </c>
      <c r="C445" s="1" t="n">
        <v>45357</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43750-2020</t>
        </is>
      </c>
      <c r="B446" s="1" t="n">
        <v>44082</v>
      </c>
      <c r="C446" s="1" t="n">
        <v>45357</v>
      </c>
      <c r="D446" t="inlineStr">
        <is>
          <t>JÄMTLANDS LÄN</t>
        </is>
      </c>
      <c r="E446" t="inlineStr">
        <is>
          <t>HÄRJEDALEN</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44381-2020</t>
        </is>
      </c>
      <c r="B447" s="1" t="n">
        <v>44084</v>
      </c>
      <c r="C447" s="1" t="n">
        <v>45357</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45426-2020</t>
        </is>
      </c>
      <c r="B448" s="1" t="n">
        <v>44088</v>
      </c>
      <c r="C448" s="1" t="n">
        <v>45357</v>
      </c>
      <c r="D448" t="inlineStr">
        <is>
          <t>JÄMTLANDS LÄN</t>
        </is>
      </c>
      <c r="E448" t="inlineStr">
        <is>
          <t>HÄRJEDALEN</t>
        </is>
      </c>
      <c r="G448" t="n">
        <v>6.1</v>
      </c>
      <c r="H448" t="n">
        <v>0</v>
      </c>
      <c r="I448" t="n">
        <v>0</v>
      </c>
      <c r="J448" t="n">
        <v>0</v>
      </c>
      <c r="K448" t="n">
        <v>0</v>
      </c>
      <c r="L448" t="n">
        <v>0</v>
      </c>
      <c r="M448" t="n">
        <v>0</v>
      </c>
      <c r="N448" t="n">
        <v>0</v>
      </c>
      <c r="O448" t="n">
        <v>0</v>
      </c>
      <c r="P448" t="n">
        <v>0</v>
      </c>
      <c r="Q448" t="n">
        <v>0</v>
      </c>
      <c r="R448" s="2" t="inlineStr"/>
    </row>
    <row r="449" ht="15" customHeight="1">
      <c r="A449" t="inlineStr">
        <is>
          <t>A 45866-2020</t>
        </is>
      </c>
      <c r="B449" s="1" t="n">
        <v>44091</v>
      </c>
      <c r="C449" s="1" t="n">
        <v>45357</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46103-2020</t>
        </is>
      </c>
      <c r="B450" s="1" t="n">
        <v>44091</v>
      </c>
      <c r="C450" s="1" t="n">
        <v>45357</v>
      </c>
      <c r="D450" t="inlineStr">
        <is>
          <t>JÄMTLANDS LÄN</t>
        </is>
      </c>
      <c r="E450" t="inlineStr">
        <is>
          <t>HÄRJEDALEN</t>
        </is>
      </c>
      <c r="G450" t="n">
        <v>2.8</v>
      </c>
      <c r="H450" t="n">
        <v>0</v>
      </c>
      <c r="I450" t="n">
        <v>0</v>
      </c>
      <c r="J450" t="n">
        <v>0</v>
      </c>
      <c r="K450" t="n">
        <v>0</v>
      </c>
      <c r="L450" t="n">
        <v>0</v>
      </c>
      <c r="M450" t="n">
        <v>0</v>
      </c>
      <c r="N450" t="n">
        <v>0</v>
      </c>
      <c r="O450" t="n">
        <v>0</v>
      </c>
      <c r="P450" t="n">
        <v>0</v>
      </c>
      <c r="Q450" t="n">
        <v>0</v>
      </c>
      <c r="R450" s="2" t="inlineStr"/>
    </row>
    <row r="451" ht="15" customHeight="1">
      <c r="A451" t="inlineStr">
        <is>
          <t>A 46310-2020</t>
        </is>
      </c>
      <c r="B451" s="1" t="n">
        <v>44092</v>
      </c>
      <c r="C451" s="1" t="n">
        <v>45357</v>
      </c>
      <c r="D451" t="inlineStr">
        <is>
          <t>JÄMTLANDS LÄN</t>
        </is>
      </c>
      <c r="E451" t="inlineStr">
        <is>
          <t>HÄRJEDALEN</t>
        </is>
      </c>
      <c r="F451" t="inlineStr">
        <is>
          <t>Bergvik skog väst AB</t>
        </is>
      </c>
      <c r="G451" t="n">
        <v>26.6</v>
      </c>
      <c r="H451" t="n">
        <v>0</v>
      </c>
      <c r="I451" t="n">
        <v>0</v>
      </c>
      <c r="J451" t="n">
        <v>0</v>
      </c>
      <c r="K451" t="n">
        <v>0</v>
      </c>
      <c r="L451" t="n">
        <v>0</v>
      </c>
      <c r="M451" t="n">
        <v>0</v>
      </c>
      <c r="N451" t="n">
        <v>0</v>
      </c>
      <c r="O451" t="n">
        <v>0</v>
      </c>
      <c r="P451" t="n">
        <v>0</v>
      </c>
      <c r="Q451" t="n">
        <v>0</v>
      </c>
      <c r="R451" s="2" t="inlineStr"/>
    </row>
    <row r="452" ht="15" customHeight="1">
      <c r="A452" t="inlineStr">
        <is>
          <t>A 47685-2020</t>
        </is>
      </c>
      <c r="B452" s="1" t="n">
        <v>44096</v>
      </c>
      <c r="C452" s="1" t="n">
        <v>45357</v>
      </c>
      <c r="D452" t="inlineStr">
        <is>
          <t>JÄMTLANDS LÄN</t>
        </is>
      </c>
      <c r="E452" t="inlineStr">
        <is>
          <t>HÄRJEDALEN</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49430-2020</t>
        </is>
      </c>
      <c r="B453" s="1" t="n">
        <v>44102</v>
      </c>
      <c r="C453" s="1" t="n">
        <v>45357</v>
      </c>
      <c r="D453" t="inlineStr">
        <is>
          <t>JÄMTLANDS LÄN</t>
        </is>
      </c>
      <c r="E453" t="inlineStr">
        <is>
          <t>HÄRJEDALEN</t>
        </is>
      </c>
      <c r="G453" t="n">
        <v>8</v>
      </c>
      <c r="H453" t="n">
        <v>0</v>
      </c>
      <c r="I453" t="n">
        <v>0</v>
      </c>
      <c r="J453" t="n">
        <v>0</v>
      </c>
      <c r="K453" t="n">
        <v>0</v>
      </c>
      <c r="L453" t="n">
        <v>0</v>
      </c>
      <c r="M453" t="n">
        <v>0</v>
      </c>
      <c r="N453" t="n">
        <v>0</v>
      </c>
      <c r="O453" t="n">
        <v>0</v>
      </c>
      <c r="P453" t="n">
        <v>0</v>
      </c>
      <c r="Q453" t="n">
        <v>0</v>
      </c>
      <c r="R453" s="2" t="inlineStr"/>
    </row>
    <row r="454" ht="15" customHeight="1">
      <c r="A454" t="inlineStr">
        <is>
          <t>A 49447-2020</t>
        </is>
      </c>
      <c r="B454" s="1" t="n">
        <v>44102</v>
      </c>
      <c r="C454" s="1" t="n">
        <v>45357</v>
      </c>
      <c r="D454" t="inlineStr">
        <is>
          <t>JÄMTLANDS LÄN</t>
        </is>
      </c>
      <c r="E454" t="inlineStr">
        <is>
          <t>HÄRJEDALEN</t>
        </is>
      </c>
      <c r="F454" t="inlineStr">
        <is>
          <t>Bergvik skog väst AB</t>
        </is>
      </c>
      <c r="G454" t="n">
        <v>8.4</v>
      </c>
      <c r="H454" t="n">
        <v>0</v>
      </c>
      <c r="I454" t="n">
        <v>0</v>
      </c>
      <c r="J454" t="n">
        <v>0</v>
      </c>
      <c r="K454" t="n">
        <v>0</v>
      </c>
      <c r="L454" t="n">
        <v>0</v>
      </c>
      <c r="M454" t="n">
        <v>0</v>
      </c>
      <c r="N454" t="n">
        <v>0</v>
      </c>
      <c r="O454" t="n">
        <v>0</v>
      </c>
      <c r="P454" t="n">
        <v>0</v>
      </c>
      <c r="Q454" t="n">
        <v>0</v>
      </c>
      <c r="R454" s="2" t="inlineStr"/>
    </row>
    <row r="455" ht="15" customHeight="1">
      <c r="A455" t="inlineStr">
        <is>
          <t>A 49248-2020</t>
        </is>
      </c>
      <c r="B455" s="1" t="n">
        <v>44105</v>
      </c>
      <c r="C455" s="1" t="n">
        <v>45357</v>
      </c>
      <c r="D455" t="inlineStr">
        <is>
          <t>JÄMTLANDS LÄN</t>
        </is>
      </c>
      <c r="E455" t="inlineStr">
        <is>
          <t>HÄRJEDALEN</t>
        </is>
      </c>
      <c r="G455" t="n">
        <v>3.5</v>
      </c>
      <c r="H455" t="n">
        <v>0</v>
      </c>
      <c r="I455" t="n">
        <v>0</v>
      </c>
      <c r="J455" t="n">
        <v>0</v>
      </c>
      <c r="K455" t="n">
        <v>0</v>
      </c>
      <c r="L455" t="n">
        <v>0</v>
      </c>
      <c r="M455" t="n">
        <v>0</v>
      </c>
      <c r="N455" t="n">
        <v>0</v>
      </c>
      <c r="O455" t="n">
        <v>0</v>
      </c>
      <c r="P455" t="n">
        <v>0</v>
      </c>
      <c r="Q455" t="n">
        <v>0</v>
      </c>
      <c r="R455" s="2" t="inlineStr"/>
    </row>
    <row r="456" ht="15" customHeight="1">
      <c r="A456" t="inlineStr">
        <is>
          <t>A 49246-2020</t>
        </is>
      </c>
      <c r="B456" s="1" t="n">
        <v>44105</v>
      </c>
      <c r="C456" s="1" t="n">
        <v>45357</v>
      </c>
      <c r="D456" t="inlineStr">
        <is>
          <t>JÄMTLANDS LÄN</t>
        </is>
      </c>
      <c r="E456" t="inlineStr">
        <is>
          <t>HÄRJEDALEN</t>
        </is>
      </c>
      <c r="G456" t="n">
        <v>3.7</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45357</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45357</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45357</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45357</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45357</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45357</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45357</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45357</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45357</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45357</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45357</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45357</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45357</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45357</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45357</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45357</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45357</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45357</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45357</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45357</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45357</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45357</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45357</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45357</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45357</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45357</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45357</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45357</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45357</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45357</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45357</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45357</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45357</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45357</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45357</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45357</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45357</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45357</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45357</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45357</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45357</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45357</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45357</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45357</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45357</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45357</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45357</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45357</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45357</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45357</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45357</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45357</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45357</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45357</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45357</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45357</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45357</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45357</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45357</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45357</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45357</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45357</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45357</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45357</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45357</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45357</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45357</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45357</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45357</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45357</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45357</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45357</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45357</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45357</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45357</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45357</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45357</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45357</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45357</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45357</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45357</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45357</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45357</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45357</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45357</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45357</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45357</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45357</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45357</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45357</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45357</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45357</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45357</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45357</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45357</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45357</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45357</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45357</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45357</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45357</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45357</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45357</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45357</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45357</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45357</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45357</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45357</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45357</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45357</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45357</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45357</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45357</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45357</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45357</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45357</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45357</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45357</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45357</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45357</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45357</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45357</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45357</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45357</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45357</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45357</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45357</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45357</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45357</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45357</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45357</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45357</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45357</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45357</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45357</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45357</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45357</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45357</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45357</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45357</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45357</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45357</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45357</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45357</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45357</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45357</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45357</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45357</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45357</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45357</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45357</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45357</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45357</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45357</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45357</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45357</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45357</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45357</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45357</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45357</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45357</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45357</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45357</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45357</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45357</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45357</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45357</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45357</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45357</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45357</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45357</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45357</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45357</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45357</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45357</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45357</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45357</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45557-2021</t>
        </is>
      </c>
      <c r="B633" s="1" t="n">
        <v>44440</v>
      </c>
      <c r="C633" s="1" t="n">
        <v>45357</v>
      </c>
      <c r="D633" t="inlineStr">
        <is>
          <t>JÄMTLANDS LÄN</t>
        </is>
      </c>
      <c r="E633" t="inlineStr">
        <is>
          <t>HÄRJEDALEN</t>
        </is>
      </c>
      <c r="G633" t="n">
        <v>11.4</v>
      </c>
      <c r="H633" t="n">
        <v>0</v>
      </c>
      <c r="I633" t="n">
        <v>0</v>
      </c>
      <c r="J633" t="n">
        <v>0</v>
      </c>
      <c r="K633" t="n">
        <v>0</v>
      </c>
      <c r="L633" t="n">
        <v>0</v>
      </c>
      <c r="M633" t="n">
        <v>0</v>
      </c>
      <c r="N633" t="n">
        <v>0</v>
      </c>
      <c r="O633" t="n">
        <v>0</v>
      </c>
      <c r="P633" t="n">
        <v>0</v>
      </c>
      <c r="Q633" t="n">
        <v>0</v>
      </c>
      <c r="R633" s="2" t="inlineStr"/>
    </row>
    <row r="634" ht="15" customHeight="1">
      <c r="A634" t="inlineStr">
        <is>
          <t>A 45365-2021</t>
        </is>
      </c>
      <c r="B634" s="1" t="n">
        <v>44440</v>
      </c>
      <c r="C634" s="1" t="n">
        <v>45357</v>
      </c>
      <c r="D634" t="inlineStr">
        <is>
          <t>JÄMTLANDS LÄN</t>
        </is>
      </c>
      <c r="E634" t="inlineStr">
        <is>
          <t>HÄRJEDALEN</t>
        </is>
      </c>
      <c r="F634" t="inlineStr">
        <is>
          <t>Sveaskog</t>
        </is>
      </c>
      <c r="G634" t="n">
        <v>4.8</v>
      </c>
      <c r="H634" t="n">
        <v>0</v>
      </c>
      <c r="I634" t="n">
        <v>0</v>
      </c>
      <c r="J634" t="n">
        <v>0</v>
      </c>
      <c r="K634" t="n">
        <v>0</v>
      </c>
      <c r="L634" t="n">
        <v>0</v>
      </c>
      <c r="M634" t="n">
        <v>0</v>
      </c>
      <c r="N634" t="n">
        <v>0</v>
      </c>
      <c r="O634" t="n">
        <v>0</v>
      </c>
      <c r="P634" t="n">
        <v>0</v>
      </c>
      <c r="Q634" t="n">
        <v>0</v>
      </c>
      <c r="R634" s="2" t="inlineStr"/>
    </row>
    <row r="635" ht="15" customHeight="1">
      <c r="A635" t="inlineStr">
        <is>
          <t>A 45717-2021</t>
        </is>
      </c>
      <c r="B635" s="1" t="n">
        <v>44441</v>
      </c>
      <c r="C635" s="1" t="n">
        <v>45357</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45357</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45357</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45357</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48065-2021</t>
        </is>
      </c>
      <c r="B639" s="1" t="n">
        <v>44449</v>
      </c>
      <c r="C639" s="1" t="n">
        <v>45357</v>
      </c>
      <c r="D639" t="inlineStr">
        <is>
          <t>JÄMTLANDS LÄN</t>
        </is>
      </c>
      <c r="E639" t="inlineStr">
        <is>
          <t>HÄRJEDALEN</t>
        </is>
      </c>
      <c r="G639" t="n">
        <v>24.8</v>
      </c>
      <c r="H639" t="n">
        <v>0</v>
      </c>
      <c r="I639" t="n">
        <v>0</v>
      </c>
      <c r="J639" t="n">
        <v>0</v>
      </c>
      <c r="K639" t="n">
        <v>0</v>
      </c>
      <c r="L639" t="n">
        <v>0</v>
      </c>
      <c r="M639" t="n">
        <v>0</v>
      </c>
      <c r="N639" t="n">
        <v>0</v>
      </c>
      <c r="O639" t="n">
        <v>0</v>
      </c>
      <c r="P639" t="n">
        <v>0</v>
      </c>
      <c r="Q639" t="n">
        <v>0</v>
      </c>
      <c r="R639" s="2" t="inlineStr"/>
    </row>
    <row r="640" ht="15" customHeight="1">
      <c r="A640" t="inlineStr">
        <is>
          <t>A 48079-2021</t>
        </is>
      </c>
      <c r="B640" s="1" t="n">
        <v>44449</v>
      </c>
      <c r="C640" s="1" t="n">
        <v>45357</v>
      </c>
      <c r="D640" t="inlineStr">
        <is>
          <t>JÄMTLANDS LÄN</t>
        </is>
      </c>
      <c r="E640" t="inlineStr">
        <is>
          <t>HÄRJEDALEN</t>
        </is>
      </c>
      <c r="G640" t="n">
        <v>12.5</v>
      </c>
      <c r="H640" t="n">
        <v>0</v>
      </c>
      <c r="I640" t="n">
        <v>0</v>
      </c>
      <c r="J640" t="n">
        <v>0</v>
      </c>
      <c r="K640" t="n">
        <v>0</v>
      </c>
      <c r="L640" t="n">
        <v>0</v>
      </c>
      <c r="M640" t="n">
        <v>0</v>
      </c>
      <c r="N640" t="n">
        <v>0</v>
      </c>
      <c r="O640" t="n">
        <v>0</v>
      </c>
      <c r="P640" t="n">
        <v>0</v>
      </c>
      <c r="Q640" t="n">
        <v>0</v>
      </c>
      <c r="R640" s="2" t="inlineStr"/>
    </row>
    <row r="641" ht="15" customHeight="1">
      <c r="A641" t="inlineStr">
        <is>
          <t>A 48132-2021</t>
        </is>
      </c>
      <c r="B641" s="1" t="n">
        <v>44449</v>
      </c>
      <c r="C641" s="1" t="n">
        <v>45357</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48142-2021</t>
        </is>
      </c>
      <c r="B642" s="1" t="n">
        <v>44449</v>
      </c>
      <c r="C642" s="1" t="n">
        <v>45357</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48444-2021</t>
        </is>
      </c>
      <c r="B643" s="1" t="n">
        <v>44452</v>
      </c>
      <c r="C643" s="1" t="n">
        <v>45357</v>
      </c>
      <c r="D643" t="inlineStr">
        <is>
          <t>JÄMTLANDS LÄN</t>
        </is>
      </c>
      <c r="E643" t="inlineStr">
        <is>
          <t>HÄRJEDALEN</t>
        </is>
      </c>
      <c r="F643" t="inlineStr">
        <is>
          <t>Holmen skog AB</t>
        </is>
      </c>
      <c r="G643" t="n">
        <v>7.4</v>
      </c>
      <c r="H643" t="n">
        <v>0</v>
      </c>
      <c r="I643" t="n">
        <v>0</v>
      </c>
      <c r="J643" t="n">
        <v>0</v>
      </c>
      <c r="K643" t="n">
        <v>0</v>
      </c>
      <c r="L643" t="n">
        <v>0</v>
      </c>
      <c r="M643" t="n">
        <v>0</v>
      </c>
      <c r="N643" t="n">
        <v>0</v>
      </c>
      <c r="O643" t="n">
        <v>0</v>
      </c>
      <c r="P643" t="n">
        <v>0</v>
      </c>
      <c r="Q643" t="n">
        <v>0</v>
      </c>
      <c r="R643" s="2" t="inlineStr"/>
    </row>
    <row r="644" ht="15" customHeight="1">
      <c r="A644" t="inlineStr">
        <is>
          <t>A 48586-2021</t>
        </is>
      </c>
      <c r="B644" s="1" t="n">
        <v>44452</v>
      </c>
      <c r="C644" s="1" t="n">
        <v>45357</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48769-2021</t>
        </is>
      </c>
      <c r="B645" s="1" t="n">
        <v>44452</v>
      </c>
      <c r="C645" s="1" t="n">
        <v>45357</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48681-2021</t>
        </is>
      </c>
      <c r="B646" s="1" t="n">
        <v>44452</v>
      </c>
      <c r="C646" s="1" t="n">
        <v>45357</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50775-2021</t>
        </is>
      </c>
      <c r="B647" s="1" t="n">
        <v>44460</v>
      </c>
      <c r="C647" s="1" t="n">
        <v>45357</v>
      </c>
      <c r="D647" t="inlineStr">
        <is>
          <t>JÄMTLANDS LÄN</t>
        </is>
      </c>
      <c r="E647" t="inlineStr">
        <is>
          <t>HÄRJEDALEN</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52685-2021</t>
        </is>
      </c>
      <c r="B648" s="1" t="n">
        <v>44466</v>
      </c>
      <c r="C648" s="1" t="n">
        <v>45357</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54103-2021</t>
        </is>
      </c>
      <c r="B649" s="1" t="n">
        <v>44470</v>
      </c>
      <c r="C649" s="1" t="n">
        <v>45357</v>
      </c>
      <c r="D649" t="inlineStr">
        <is>
          <t>JÄMTLANDS LÄN</t>
        </is>
      </c>
      <c r="E649" t="inlineStr">
        <is>
          <t>HÄRJEDALEN</t>
        </is>
      </c>
      <c r="F649" t="inlineStr">
        <is>
          <t>Holmen skog AB</t>
        </is>
      </c>
      <c r="G649" t="n">
        <v>11.9</v>
      </c>
      <c r="H649" t="n">
        <v>0</v>
      </c>
      <c r="I649" t="n">
        <v>0</v>
      </c>
      <c r="J649" t="n">
        <v>0</v>
      </c>
      <c r="K649" t="n">
        <v>0</v>
      </c>
      <c r="L649" t="n">
        <v>0</v>
      </c>
      <c r="M649" t="n">
        <v>0</v>
      </c>
      <c r="N649" t="n">
        <v>0</v>
      </c>
      <c r="O649" t="n">
        <v>0</v>
      </c>
      <c r="P649" t="n">
        <v>0</v>
      </c>
      <c r="Q649" t="n">
        <v>0</v>
      </c>
      <c r="R649" s="2" t="inlineStr"/>
    </row>
    <row r="650" ht="15" customHeight="1">
      <c r="A650" t="inlineStr">
        <is>
          <t>A 54218-2021</t>
        </is>
      </c>
      <c r="B650" s="1" t="n">
        <v>44470</v>
      </c>
      <c r="C650" s="1" t="n">
        <v>45357</v>
      </c>
      <c r="D650" t="inlineStr">
        <is>
          <t>JÄMTLANDS LÄN</t>
        </is>
      </c>
      <c r="E650" t="inlineStr">
        <is>
          <t>HÄRJEDALEN</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54331-2021</t>
        </is>
      </c>
      <c r="B651" s="1" t="n">
        <v>44472</v>
      </c>
      <c r="C651" s="1" t="n">
        <v>45357</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54420-2021</t>
        </is>
      </c>
      <c r="B652" s="1" t="n">
        <v>44473</v>
      </c>
      <c r="C652" s="1" t="n">
        <v>45357</v>
      </c>
      <c r="D652" t="inlineStr">
        <is>
          <t>JÄMTLANDS LÄN</t>
        </is>
      </c>
      <c r="E652" t="inlineStr">
        <is>
          <t>HÄRJEDALEN</t>
        </is>
      </c>
      <c r="F652" t="inlineStr">
        <is>
          <t>Bergvik skog väst AB</t>
        </is>
      </c>
      <c r="G652" t="n">
        <v>18.5</v>
      </c>
      <c r="H652" t="n">
        <v>0</v>
      </c>
      <c r="I652" t="n">
        <v>0</v>
      </c>
      <c r="J652" t="n">
        <v>0</v>
      </c>
      <c r="K652" t="n">
        <v>0</v>
      </c>
      <c r="L652" t="n">
        <v>0</v>
      </c>
      <c r="M652" t="n">
        <v>0</v>
      </c>
      <c r="N652" t="n">
        <v>0</v>
      </c>
      <c r="O652" t="n">
        <v>0</v>
      </c>
      <c r="P652" t="n">
        <v>0</v>
      </c>
      <c r="Q652" t="n">
        <v>0</v>
      </c>
      <c r="R652" s="2" t="inlineStr"/>
    </row>
    <row r="653" ht="15" customHeight="1">
      <c r="A653" t="inlineStr">
        <is>
          <t>A 54842-2021</t>
        </is>
      </c>
      <c r="B653" s="1" t="n">
        <v>44473</v>
      </c>
      <c r="C653" s="1" t="n">
        <v>45357</v>
      </c>
      <c r="D653" t="inlineStr">
        <is>
          <t>JÄMTLANDS LÄN</t>
        </is>
      </c>
      <c r="E653" t="inlineStr">
        <is>
          <t>HÄRJEDALEN</t>
        </is>
      </c>
      <c r="G653" t="n">
        <v>0.6</v>
      </c>
      <c r="H653" t="n">
        <v>0</v>
      </c>
      <c r="I653" t="n">
        <v>0</v>
      </c>
      <c r="J653" t="n">
        <v>0</v>
      </c>
      <c r="K653" t="n">
        <v>0</v>
      </c>
      <c r="L653" t="n">
        <v>0</v>
      </c>
      <c r="M653" t="n">
        <v>0</v>
      </c>
      <c r="N653" t="n">
        <v>0</v>
      </c>
      <c r="O653" t="n">
        <v>0</v>
      </c>
      <c r="P653" t="n">
        <v>0</v>
      </c>
      <c r="Q653" t="n">
        <v>0</v>
      </c>
      <c r="R653" s="2" t="inlineStr"/>
    </row>
    <row r="654" ht="15" customHeight="1">
      <c r="A654" t="inlineStr">
        <is>
          <t>A 55029-2021</t>
        </is>
      </c>
      <c r="B654" s="1" t="n">
        <v>44474</v>
      </c>
      <c r="C654" s="1" t="n">
        <v>45357</v>
      </c>
      <c r="D654" t="inlineStr">
        <is>
          <t>JÄMTLANDS LÄN</t>
        </is>
      </c>
      <c r="E654" t="inlineStr">
        <is>
          <t>HÄRJEDALEN</t>
        </is>
      </c>
      <c r="G654" t="n">
        <v>6.2</v>
      </c>
      <c r="H654" t="n">
        <v>0</v>
      </c>
      <c r="I654" t="n">
        <v>0</v>
      </c>
      <c r="J654" t="n">
        <v>0</v>
      </c>
      <c r="K654" t="n">
        <v>0</v>
      </c>
      <c r="L654" t="n">
        <v>0</v>
      </c>
      <c r="M654" t="n">
        <v>0</v>
      </c>
      <c r="N654" t="n">
        <v>0</v>
      </c>
      <c r="O654" t="n">
        <v>0</v>
      </c>
      <c r="P654" t="n">
        <v>0</v>
      </c>
      <c r="Q654" t="n">
        <v>0</v>
      </c>
      <c r="R654" s="2" t="inlineStr"/>
    </row>
    <row r="655" ht="15" customHeight="1">
      <c r="A655" t="inlineStr">
        <is>
          <t>A 55219-2021</t>
        </is>
      </c>
      <c r="B655" s="1" t="n">
        <v>44475</v>
      </c>
      <c r="C655" s="1" t="n">
        <v>45357</v>
      </c>
      <c r="D655" t="inlineStr">
        <is>
          <t>JÄMTLANDS LÄN</t>
        </is>
      </c>
      <c r="E655" t="inlineStr">
        <is>
          <t>HÄRJEDALEN</t>
        </is>
      </c>
      <c r="G655" t="n">
        <v>2.5</v>
      </c>
      <c r="H655" t="n">
        <v>0</v>
      </c>
      <c r="I655" t="n">
        <v>0</v>
      </c>
      <c r="J655" t="n">
        <v>0</v>
      </c>
      <c r="K655" t="n">
        <v>0</v>
      </c>
      <c r="L655" t="n">
        <v>0</v>
      </c>
      <c r="M655" t="n">
        <v>0</v>
      </c>
      <c r="N655" t="n">
        <v>0</v>
      </c>
      <c r="O655" t="n">
        <v>0</v>
      </c>
      <c r="P655" t="n">
        <v>0</v>
      </c>
      <c r="Q655" t="n">
        <v>0</v>
      </c>
      <c r="R655" s="2" t="inlineStr"/>
    </row>
    <row r="656" ht="15" customHeight="1">
      <c r="A656" t="inlineStr">
        <is>
          <t>A 55226-2021</t>
        </is>
      </c>
      <c r="B656" s="1" t="n">
        <v>44475</v>
      </c>
      <c r="C656" s="1" t="n">
        <v>45357</v>
      </c>
      <c r="D656" t="inlineStr">
        <is>
          <t>JÄMTLANDS LÄN</t>
        </is>
      </c>
      <c r="E656" t="inlineStr">
        <is>
          <t>HÄRJEDALEN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55232-2021</t>
        </is>
      </c>
      <c r="B657" s="1" t="n">
        <v>44475</v>
      </c>
      <c r="C657" s="1" t="n">
        <v>45357</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55250-2021</t>
        </is>
      </c>
      <c r="B658" s="1" t="n">
        <v>44475</v>
      </c>
      <c r="C658" s="1" t="n">
        <v>45357</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55231-2021</t>
        </is>
      </c>
      <c r="B659" s="1" t="n">
        <v>44475</v>
      </c>
      <c r="C659" s="1" t="n">
        <v>45357</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55238-2021</t>
        </is>
      </c>
      <c r="B660" s="1" t="n">
        <v>44475</v>
      </c>
      <c r="C660" s="1" t="n">
        <v>45357</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55242-2021</t>
        </is>
      </c>
      <c r="B661" s="1" t="n">
        <v>44475</v>
      </c>
      <c r="C661" s="1" t="n">
        <v>45357</v>
      </c>
      <c r="D661" t="inlineStr">
        <is>
          <t>JÄMTLANDS LÄN</t>
        </is>
      </c>
      <c r="E661" t="inlineStr">
        <is>
          <t>HÄRJEDALEN</t>
        </is>
      </c>
      <c r="G661" t="n">
        <v>26</v>
      </c>
      <c r="H661" t="n">
        <v>0</v>
      </c>
      <c r="I661" t="n">
        <v>0</v>
      </c>
      <c r="J661" t="n">
        <v>0</v>
      </c>
      <c r="K661" t="n">
        <v>0</v>
      </c>
      <c r="L661" t="n">
        <v>0</v>
      </c>
      <c r="M661" t="n">
        <v>0</v>
      </c>
      <c r="N661" t="n">
        <v>0</v>
      </c>
      <c r="O661" t="n">
        <v>0</v>
      </c>
      <c r="P661" t="n">
        <v>0</v>
      </c>
      <c r="Q661" t="n">
        <v>0</v>
      </c>
      <c r="R661" s="2" t="inlineStr"/>
    </row>
    <row r="662" ht="15" customHeight="1">
      <c r="A662" t="inlineStr">
        <is>
          <t>A 55252-2021</t>
        </is>
      </c>
      <c r="B662" s="1" t="n">
        <v>44475</v>
      </c>
      <c r="C662" s="1" t="n">
        <v>45357</v>
      </c>
      <c r="D662" t="inlineStr">
        <is>
          <t>JÄMTLANDS LÄN</t>
        </is>
      </c>
      <c r="E662" t="inlineStr">
        <is>
          <t>HÄRJEDALEN</t>
        </is>
      </c>
      <c r="G662" t="n">
        <v>0.2</v>
      </c>
      <c r="H662" t="n">
        <v>0</v>
      </c>
      <c r="I662" t="n">
        <v>0</v>
      </c>
      <c r="J662" t="n">
        <v>0</v>
      </c>
      <c r="K662" t="n">
        <v>0</v>
      </c>
      <c r="L662" t="n">
        <v>0</v>
      </c>
      <c r="M662" t="n">
        <v>0</v>
      </c>
      <c r="N662" t="n">
        <v>0</v>
      </c>
      <c r="O662" t="n">
        <v>0</v>
      </c>
      <c r="P662" t="n">
        <v>0</v>
      </c>
      <c r="Q662" t="n">
        <v>0</v>
      </c>
      <c r="R662" s="2" t="inlineStr"/>
    </row>
    <row r="663" ht="15" customHeight="1">
      <c r="A663" t="inlineStr">
        <is>
          <t>A 55257-2021</t>
        </is>
      </c>
      <c r="B663" s="1" t="n">
        <v>44475</v>
      </c>
      <c r="C663" s="1" t="n">
        <v>45357</v>
      </c>
      <c r="D663" t="inlineStr">
        <is>
          <t>JÄMTLANDS LÄN</t>
        </is>
      </c>
      <c r="E663" t="inlineStr">
        <is>
          <t>HÄRJEDALEN</t>
        </is>
      </c>
      <c r="G663" t="n">
        <v>0</v>
      </c>
      <c r="H663" t="n">
        <v>0</v>
      </c>
      <c r="I663" t="n">
        <v>0</v>
      </c>
      <c r="J663" t="n">
        <v>0</v>
      </c>
      <c r="K663" t="n">
        <v>0</v>
      </c>
      <c r="L663" t="n">
        <v>0</v>
      </c>
      <c r="M663" t="n">
        <v>0</v>
      </c>
      <c r="N663" t="n">
        <v>0</v>
      </c>
      <c r="O663" t="n">
        <v>0</v>
      </c>
      <c r="P663" t="n">
        <v>0</v>
      </c>
      <c r="Q663" t="n">
        <v>0</v>
      </c>
      <c r="R663" s="2" t="inlineStr"/>
    </row>
    <row r="664" ht="15" customHeight="1">
      <c r="A664" t="inlineStr">
        <is>
          <t>A 55255-2021</t>
        </is>
      </c>
      <c r="B664" s="1" t="n">
        <v>44475</v>
      </c>
      <c r="C664" s="1" t="n">
        <v>45357</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55246-2021</t>
        </is>
      </c>
      <c r="B665" s="1" t="n">
        <v>44475</v>
      </c>
      <c r="C665" s="1" t="n">
        <v>45357</v>
      </c>
      <c r="D665" t="inlineStr">
        <is>
          <t>JÄMTLANDS LÄN</t>
        </is>
      </c>
      <c r="E665" t="inlineStr">
        <is>
          <t>HÄRJEDALEN</t>
        </is>
      </c>
      <c r="G665" t="n">
        <v>3.8</v>
      </c>
      <c r="H665" t="n">
        <v>0</v>
      </c>
      <c r="I665" t="n">
        <v>0</v>
      </c>
      <c r="J665" t="n">
        <v>0</v>
      </c>
      <c r="K665" t="n">
        <v>0</v>
      </c>
      <c r="L665" t="n">
        <v>0</v>
      </c>
      <c r="M665" t="n">
        <v>0</v>
      </c>
      <c r="N665" t="n">
        <v>0</v>
      </c>
      <c r="O665" t="n">
        <v>0</v>
      </c>
      <c r="P665" t="n">
        <v>0</v>
      </c>
      <c r="Q665" t="n">
        <v>0</v>
      </c>
      <c r="R665" s="2" t="inlineStr"/>
    </row>
    <row r="666" ht="15" customHeight="1">
      <c r="A666" t="inlineStr">
        <is>
          <t>A 55384-2021</t>
        </is>
      </c>
      <c r="B666" s="1" t="n">
        <v>44475</v>
      </c>
      <c r="C666" s="1" t="n">
        <v>45357</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55379-2021</t>
        </is>
      </c>
      <c r="B667" s="1" t="n">
        <v>44475</v>
      </c>
      <c r="C667" s="1" t="n">
        <v>45357</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55388-2021</t>
        </is>
      </c>
      <c r="B668" s="1" t="n">
        <v>44475</v>
      </c>
      <c r="C668" s="1" t="n">
        <v>45357</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55396-2021</t>
        </is>
      </c>
      <c r="B669" s="1" t="n">
        <v>44475</v>
      </c>
      <c r="C669" s="1" t="n">
        <v>45357</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55385-2021</t>
        </is>
      </c>
      <c r="B670" s="1" t="n">
        <v>44475</v>
      </c>
      <c r="C670" s="1" t="n">
        <v>45357</v>
      </c>
      <c r="D670" t="inlineStr">
        <is>
          <t>JÄMTLANDS LÄN</t>
        </is>
      </c>
      <c r="E670" t="inlineStr">
        <is>
          <t>HÄRJEDALEN</t>
        </is>
      </c>
      <c r="G670" t="n">
        <v>1</v>
      </c>
      <c r="H670" t="n">
        <v>0</v>
      </c>
      <c r="I670" t="n">
        <v>0</v>
      </c>
      <c r="J670" t="n">
        <v>0</v>
      </c>
      <c r="K670" t="n">
        <v>0</v>
      </c>
      <c r="L670" t="n">
        <v>0</v>
      </c>
      <c r="M670" t="n">
        <v>0</v>
      </c>
      <c r="N670" t="n">
        <v>0</v>
      </c>
      <c r="O670" t="n">
        <v>0</v>
      </c>
      <c r="P670" t="n">
        <v>0</v>
      </c>
      <c r="Q670" t="n">
        <v>0</v>
      </c>
      <c r="R670" s="2" t="inlineStr"/>
    </row>
    <row r="671" ht="15" customHeight="1">
      <c r="A671" t="inlineStr">
        <is>
          <t>A 55381-2021</t>
        </is>
      </c>
      <c r="B671" s="1" t="n">
        <v>44475</v>
      </c>
      <c r="C671" s="1" t="n">
        <v>45357</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55399-2021</t>
        </is>
      </c>
      <c r="B672" s="1" t="n">
        <v>44475</v>
      </c>
      <c r="C672" s="1" t="n">
        <v>45357</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55517-2021</t>
        </is>
      </c>
      <c r="B673" s="1" t="n">
        <v>44475</v>
      </c>
      <c r="C673" s="1" t="n">
        <v>45357</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55542-2021</t>
        </is>
      </c>
      <c r="B674" s="1" t="n">
        <v>44475</v>
      </c>
      <c r="C674" s="1" t="n">
        <v>45357</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55393-2021</t>
        </is>
      </c>
      <c r="B675" s="1" t="n">
        <v>44475</v>
      </c>
      <c r="C675" s="1" t="n">
        <v>45357</v>
      </c>
      <c r="D675" t="inlineStr">
        <is>
          <t>JÄMTLANDS LÄN</t>
        </is>
      </c>
      <c r="E675" t="inlineStr">
        <is>
          <t>HÄRJEDALEN</t>
        </is>
      </c>
      <c r="G675" t="n">
        <v>3</v>
      </c>
      <c r="H675" t="n">
        <v>0</v>
      </c>
      <c r="I675" t="n">
        <v>0</v>
      </c>
      <c r="J675" t="n">
        <v>0</v>
      </c>
      <c r="K675" t="n">
        <v>0</v>
      </c>
      <c r="L675" t="n">
        <v>0</v>
      </c>
      <c r="M675" t="n">
        <v>0</v>
      </c>
      <c r="N675" t="n">
        <v>0</v>
      </c>
      <c r="O675" t="n">
        <v>0</v>
      </c>
      <c r="P675" t="n">
        <v>0</v>
      </c>
      <c r="Q675" t="n">
        <v>0</v>
      </c>
      <c r="R675" s="2" t="inlineStr"/>
    </row>
    <row r="676" ht="15" customHeight="1">
      <c r="A676" t="inlineStr">
        <is>
          <t>A 55215-2021</t>
        </is>
      </c>
      <c r="B676" s="1" t="n">
        <v>44475</v>
      </c>
      <c r="C676" s="1" t="n">
        <v>45357</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56852-2021</t>
        </is>
      </c>
      <c r="B677" s="1" t="n">
        <v>44481</v>
      </c>
      <c r="C677" s="1" t="n">
        <v>45357</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57381-2021</t>
        </is>
      </c>
      <c r="B678" s="1" t="n">
        <v>44483</v>
      </c>
      <c r="C678" s="1" t="n">
        <v>45357</v>
      </c>
      <c r="D678" t="inlineStr">
        <is>
          <t>JÄMTLANDS LÄN</t>
        </is>
      </c>
      <c r="E678" t="inlineStr">
        <is>
          <t>HÄRJEDALEN</t>
        </is>
      </c>
      <c r="G678" t="n">
        <v>17.9</v>
      </c>
      <c r="H678" t="n">
        <v>0</v>
      </c>
      <c r="I678" t="n">
        <v>0</v>
      </c>
      <c r="J678" t="n">
        <v>0</v>
      </c>
      <c r="K678" t="n">
        <v>0</v>
      </c>
      <c r="L678" t="n">
        <v>0</v>
      </c>
      <c r="M678" t="n">
        <v>0</v>
      </c>
      <c r="N678" t="n">
        <v>0</v>
      </c>
      <c r="O678" t="n">
        <v>0</v>
      </c>
      <c r="P678" t="n">
        <v>0</v>
      </c>
      <c r="Q678" t="n">
        <v>0</v>
      </c>
      <c r="R678" s="2" t="inlineStr"/>
    </row>
    <row r="679" ht="15" customHeight="1">
      <c r="A679" t="inlineStr">
        <is>
          <t>A 57256-2021</t>
        </is>
      </c>
      <c r="B679" s="1" t="n">
        <v>44483</v>
      </c>
      <c r="C679" s="1" t="n">
        <v>45357</v>
      </c>
      <c r="D679" t="inlineStr">
        <is>
          <t>JÄMTLANDS LÄN</t>
        </is>
      </c>
      <c r="E679" t="inlineStr">
        <is>
          <t>HÄRJEDALEN</t>
        </is>
      </c>
      <c r="G679" t="n">
        <v>4.5</v>
      </c>
      <c r="H679" t="n">
        <v>0</v>
      </c>
      <c r="I679" t="n">
        <v>0</v>
      </c>
      <c r="J679" t="n">
        <v>0</v>
      </c>
      <c r="K679" t="n">
        <v>0</v>
      </c>
      <c r="L679" t="n">
        <v>0</v>
      </c>
      <c r="M679" t="n">
        <v>0</v>
      </c>
      <c r="N679" t="n">
        <v>0</v>
      </c>
      <c r="O679" t="n">
        <v>0</v>
      </c>
      <c r="P679" t="n">
        <v>0</v>
      </c>
      <c r="Q679" t="n">
        <v>0</v>
      </c>
      <c r="R679" s="2" t="inlineStr"/>
    </row>
    <row r="680" ht="15" customHeight="1">
      <c r="A680" t="inlineStr">
        <is>
          <t>A 57373-2021</t>
        </is>
      </c>
      <c r="B680" s="1" t="n">
        <v>44483</v>
      </c>
      <c r="C680" s="1" t="n">
        <v>45357</v>
      </c>
      <c r="D680" t="inlineStr">
        <is>
          <t>JÄMTLANDS LÄN</t>
        </is>
      </c>
      <c r="E680" t="inlineStr">
        <is>
          <t>HÄRJEDALEN</t>
        </is>
      </c>
      <c r="G680" t="n">
        <v>10.8</v>
      </c>
      <c r="H680" t="n">
        <v>0</v>
      </c>
      <c r="I680" t="n">
        <v>0</v>
      </c>
      <c r="J680" t="n">
        <v>0</v>
      </c>
      <c r="K680" t="n">
        <v>0</v>
      </c>
      <c r="L680" t="n">
        <v>0</v>
      </c>
      <c r="M680" t="n">
        <v>0</v>
      </c>
      <c r="N680" t="n">
        <v>0</v>
      </c>
      <c r="O680" t="n">
        <v>0</v>
      </c>
      <c r="P680" t="n">
        <v>0</v>
      </c>
      <c r="Q680" t="n">
        <v>0</v>
      </c>
      <c r="R680" s="2" t="inlineStr"/>
    </row>
    <row r="681" ht="15" customHeight="1">
      <c r="A681" t="inlineStr">
        <is>
          <t>A 57755-2021</t>
        </is>
      </c>
      <c r="B681" s="1" t="n">
        <v>44484</v>
      </c>
      <c r="C681" s="1" t="n">
        <v>45357</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57782-2021</t>
        </is>
      </c>
      <c r="B682" s="1" t="n">
        <v>44484</v>
      </c>
      <c r="C682" s="1" t="n">
        <v>45357</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58451-2021</t>
        </is>
      </c>
      <c r="B683" s="1" t="n">
        <v>44488</v>
      </c>
      <c r="C683" s="1" t="n">
        <v>45357</v>
      </c>
      <c r="D683" t="inlineStr">
        <is>
          <t>JÄMTLANDS LÄN</t>
        </is>
      </c>
      <c r="E683" t="inlineStr">
        <is>
          <t>HÄRJEDALEN</t>
        </is>
      </c>
      <c r="F683" t="inlineStr">
        <is>
          <t>Naturvårdsverket</t>
        </is>
      </c>
      <c r="G683" t="n">
        <v>12</v>
      </c>
      <c r="H683" t="n">
        <v>0</v>
      </c>
      <c r="I683" t="n">
        <v>0</v>
      </c>
      <c r="J683" t="n">
        <v>0</v>
      </c>
      <c r="K683" t="n">
        <v>0</v>
      </c>
      <c r="L683" t="n">
        <v>0</v>
      </c>
      <c r="M683" t="n">
        <v>0</v>
      </c>
      <c r="N683" t="n">
        <v>0</v>
      </c>
      <c r="O683" t="n">
        <v>0</v>
      </c>
      <c r="P683" t="n">
        <v>0</v>
      </c>
      <c r="Q683" t="n">
        <v>0</v>
      </c>
      <c r="R683" s="2" t="inlineStr"/>
    </row>
    <row r="684" ht="15" customHeight="1">
      <c r="A684" t="inlineStr">
        <is>
          <t>A 59928-2021</t>
        </is>
      </c>
      <c r="B684" s="1" t="n">
        <v>44494</v>
      </c>
      <c r="C684" s="1" t="n">
        <v>45357</v>
      </c>
      <c r="D684" t="inlineStr">
        <is>
          <t>JÄMTLANDS LÄN</t>
        </is>
      </c>
      <c r="E684" t="inlineStr">
        <is>
          <t>HÄRJEDALEN</t>
        </is>
      </c>
      <c r="G684" t="n">
        <v>28.6</v>
      </c>
      <c r="H684" t="n">
        <v>0</v>
      </c>
      <c r="I684" t="n">
        <v>0</v>
      </c>
      <c r="J684" t="n">
        <v>0</v>
      </c>
      <c r="K684" t="n">
        <v>0</v>
      </c>
      <c r="L684" t="n">
        <v>0</v>
      </c>
      <c r="M684" t="n">
        <v>0</v>
      </c>
      <c r="N684" t="n">
        <v>0</v>
      </c>
      <c r="O684" t="n">
        <v>0</v>
      </c>
      <c r="P684" t="n">
        <v>0</v>
      </c>
      <c r="Q684" t="n">
        <v>0</v>
      </c>
      <c r="R684" s="2" t="inlineStr"/>
    </row>
    <row r="685" ht="15" customHeight="1">
      <c r="A685" t="inlineStr">
        <is>
          <t>A 60841-2021</t>
        </is>
      </c>
      <c r="B685" s="1" t="n">
        <v>44497</v>
      </c>
      <c r="C685" s="1" t="n">
        <v>45357</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61561-2021</t>
        </is>
      </c>
      <c r="B686" s="1" t="n">
        <v>44501</v>
      </c>
      <c r="C686" s="1" t="n">
        <v>45357</v>
      </c>
      <c r="D686" t="inlineStr">
        <is>
          <t>JÄMTLANDS LÄN</t>
        </is>
      </c>
      <c r="E686" t="inlineStr">
        <is>
          <t>HÄRJEDALEN</t>
        </is>
      </c>
      <c r="F686" t="inlineStr">
        <is>
          <t>Bergvik skog väst AB</t>
        </is>
      </c>
      <c r="G686" t="n">
        <v>16.2</v>
      </c>
      <c r="H686" t="n">
        <v>0</v>
      </c>
      <c r="I686" t="n">
        <v>0</v>
      </c>
      <c r="J686" t="n">
        <v>0</v>
      </c>
      <c r="K686" t="n">
        <v>0</v>
      </c>
      <c r="L686" t="n">
        <v>0</v>
      </c>
      <c r="M686" t="n">
        <v>0</v>
      </c>
      <c r="N686" t="n">
        <v>0</v>
      </c>
      <c r="O686" t="n">
        <v>0</v>
      </c>
      <c r="P686" t="n">
        <v>0</v>
      </c>
      <c r="Q686" t="n">
        <v>0</v>
      </c>
      <c r="R686" s="2" t="inlineStr"/>
    </row>
    <row r="687" ht="15" customHeight="1">
      <c r="A687" t="inlineStr">
        <is>
          <t>A 61547-2021</t>
        </is>
      </c>
      <c r="B687" s="1" t="n">
        <v>44501</v>
      </c>
      <c r="C687" s="1" t="n">
        <v>45357</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63774-2021</t>
        </is>
      </c>
      <c r="B688" s="1" t="n">
        <v>44508</v>
      </c>
      <c r="C688" s="1" t="n">
        <v>45357</v>
      </c>
      <c r="D688" t="inlineStr">
        <is>
          <t>JÄMTLANDS LÄN</t>
        </is>
      </c>
      <c r="E688" t="inlineStr">
        <is>
          <t>HÄRJEDALEN</t>
        </is>
      </c>
      <c r="F688" t="inlineStr">
        <is>
          <t>Holmen skog AB</t>
        </is>
      </c>
      <c r="G688" t="n">
        <v>14.8</v>
      </c>
      <c r="H688" t="n">
        <v>0</v>
      </c>
      <c r="I688" t="n">
        <v>0</v>
      </c>
      <c r="J688" t="n">
        <v>0</v>
      </c>
      <c r="K688" t="n">
        <v>0</v>
      </c>
      <c r="L688" t="n">
        <v>0</v>
      </c>
      <c r="M688" t="n">
        <v>0</v>
      </c>
      <c r="N688" t="n">
        <v>0</v>
      </c>
      <c r="O688" t="n">
        <v>0</v>
      </c>
      <c r="P688" t="n">
        <v>0</v>
      </c>
      <c r="Q688" t="n">
        <v>0</v>
      </c>
      <c r="R688" s="2" t="inlineStr"/>
    </row>
    <row r="689" ht="15" customHeight="1">
      <c r="A689" t="inlineStr">
        <is>
          <t>A 64937-2021</t>
        </is>
      </c>
      <c r="B689" s="1" t="n">
        <v>44512</v>
      </c>
      <c r="C689" s="1" t="n">
        <v>45357</v>
      </c>
      <c r="D689" t="inlineStr">
        <is>
          <t>JÄMTLANDS LÄN</t>
        </is>
      </c>
      <c r="E689" t="inlineStr">
        <is>
          <t>HÄRJEDALEN</t>
        </is>
      </c>
      <c r="G689" t="n">
        <v>7</v>
      </c>
      <c r="H689" t="n">
        <v>0</v>
      </c>
      <c r="I689" t="n">
        <v>0</v>
      </c>
      <c r="J689" t="n">
        <v>0</v>
      </c>
      <c r="K689" t="n">
        <v>0</v>
      </c>
      <c r="L689" t="n">
        <v>0</v>
      </c>
      <c r="M689" t="n">
        <v>0</v>
      </c>
      <c r="N689" t="n">
        <v>0</v>
      </c>
      <c r="O689" t="n">
        <v>0</v>
      </c>
      <c r="P689" t="n">
        <v>0</v>
      </c>
      <c r="Q689" t="n">
        <v>0</v>
      </c>
      <c r="R689" s="2" t="inlineStr"/>
    </row>
    <row r="690" ht="15" customHeight="1">
      <c r="A690" t="inlineStr">
        <is>
          <t>A 65125-2021</t>
        </is>
      </c>
      <c r="B690" s="1" t="n">
        <v>44515</v>
      </c>
      <c r="C690" s="1" t="n">
        <v>45357</v>
      </c>
      <c r="D690" t="inlineStr">
        <is>
          <t>JÄMTLANDS LÄN</t>
        </is>
      </c>
      <c r="E690" t="inlineStr">
        <is>
          <t>HÄRJEDALEN</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65549-2021</t>
        </is>
      </c>
      <c r="B691" s="1" t="n">
        <v>44516</v>
      </c>
      <c r="C691" s="1" t="n">
        <v>45357</v>
      </c>
      <c r="D691" t="inlineStr">
        <is>
          <t>JÄMTLANDS LÄN</t>
        </is>
      </c>
      <c r="E691" t="inlineStr">
        <is>
          <t>HÄRJEDALEN</t>
        </is>
      </c>
      <c r="F691" t="inlineStr">
        <is>
          <t>Bergvik skog väst AB</t>
        </is>
      </c>
      <c r="G691" t="n">
        <v>7</v>
      </c>
      <c r="H691" t="n">
        <v>0</v>
      </c>
      <c r="I691" t="n">
        <v>0</v>
      </c>
      <c r="J691" t="n">
        <v>0</v>
      </c>
      <c r="K691" t="n">
        <v>0</v>
      </c>
      <c r="L691" t="n">
        <v>0</v>
      </c>
      <c r="M691" t="n">
        <v>0</v>
      </c>
      <c r="N691" t="n">
        <v>0</v>
      </c>
      <c r="O691" t="n">
        <v>0</v>
      </c>
      <c r="P691" t="n">
        <v>0</v>
      </c>
      <c r="Q691" t="n">
        <v>0</v>
      </c>
      <c r="R691" s="2" t="inlineStr"/>
    </row>
    <row r="692" ht="15" customHeight="1">
      <c r="A692" t="inlineStr">
        <is>
          <t>A 68858-2021</t>
        </is>
      </c>
      <c r="B692" s="1" t="n">
        <v>44530</v>
      </c>
      <c r="C692" s="1" t="n">
        <v>45357</v>
      </c>
      <c r="D692" t="inlineStr">
        <is>
          <t>JÄMTLANDS LÄN</t>
        </is>
      </c>
      <c r="E692" t="inlineStr">
        <is>
          <t>HÄRJEDALEN</t>
        </is>
      </c>
      <c r="G692" t="n">
        <v>0.9</v>
      </c>
      <c r="H692" t="n">
        <v>0</v>
      </c>
      <c r="I692" t="n">
        <v>0</v>
      </c>
      <c r="J692" t="n">
        <v>0</v>
      </c>
      <c r="K692" t="n">
        <v>0</v>
      </c>
      <c r="L692" t="n">
        <v>0</v>
      </c>
      <c r="M692" t="n">
        <v>0</v>
      </c>
      <c r="N692" t="n">
        <v>0</v>
      </c>
      <c r="O692" t="n">
        <v>0</v>
      </c>
      <c r="P692" t="n">
        <v>0</v>
      </c>
      <c r="Q692" t="n">
        <v>0</v>
      </c>
      <c r="R692" s="2" t="inlineStr"/>
    </row>
    <row r="693" ht="15" customHeight="1">
      <c r="A693" t="inlineStr">
        <is>
          <t>A 69271-2021</t>
        </is>
      </c>
      <c r="B693" s="1" t="n">
        <v>44531</v>
      </c>
      <c r="C693" s="1" t="n">
        <v>45357</v>
      </c>
      <c r="D693" t="inlineStr">
        <is>
          <t>JÄMTLANDS LÄN</t>
        </is>
      </c>
      <c r="E693" t="inlineStr">
        <is>
          <t>HÄRJEDALEN</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69501-2021</t>
        </is>
      </c>
      <c r="B694" s="1" t="n">
        <v>44531</v>
      </c>
      <c r="C694" s="1" t="n">
        <v>45357</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69490-2021</t>
        </is>
      </c>
      <c r="B695" s="1" t="n">
        <v>44531</v>
      </c>
      <c r="C695" s="1" t="n">
        <v>45357</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69504-2021</t>
        </is>
      </c>
      <c r="B696" s="1" t="n">
        <v>44531</v>
      </c>
      <c r="C696" s="1" t="n">
        <v>45357</v>
      </c>
      <c r="D696" t="inlineStr">
        <is>
          <t>JÄMTLANDS LÄN</t>
        </is>
      </c>
      <c r="E696" t="inlineStr">
        <is>
          <t>HÄRJEDALEN</t>
        </is>
      </c>
      <c r="G696" t="n">
        <v>11.5</v>
      </c>
      <c r="H696" t="n">
        <v>0</v>
      </c>
      <c r="I696" t="n">
        <v>0</v>
      </c>
      <c r="J696" t="n">
        <v>0</v>
      </c>
      <c r="K696" t="n">
        <v>0</v>
      </c>
      <c r="L696" t="n">
        <v>0</v>
      </c>
      <c r="M696" t="n">
        <v>0</v>
      </c>
      <c r="N696" t="n">
        <v>0</v>
      </c>
      <c r="O696" t="n">
        <v>0</v>
      </c>
      <c r="P696" t="n">
        <v>0</v>
      </c>
      <c r="Q696" t="n">
        <v>0</v>
      </c>
      <c r="R696" s="2" t="inlineStr"/>
    </row>
    <row r="697" ht="15" customHeight="1">
      <c r="A697" t="inlineStr">
        <is>
          <t>A 69499-2021</t>
        </is>
      </c>
      <c r="B697" s="1" t="n">
        <v>44531</v>
      </c>
      <c r="C697" s="1" t="n">
        <v>45357</v>
      </c>
      <c r="D697" t="inlineStr">
        <is>
          <t>JÄMTLANDS LÄN</t>
        </is>
      </c>
      <c r="E697" t="inlineStr">
        <is>
          <t>HÄRJEDALEN</t>
        </is>
      </c>
      <c r="G697" t="n">
        <v>7.5</v>
      </c>
      <c r="H697" t="n">
        <v>0</v>
      </c>
      <c r="I697" t="n">
        <v>0</v>
      </c>
      <c r="J697" t="n">
        <v>0</v>
      </c>
      <c r="K697" t="n">
        <v>0</v>
      </c>
      <c r="L697" t="n">
        <v>0</v>
      </c>
      <c r="M697" t="n">
        <v>0</v>
      </c>
      <c r="N697" t="n">
        <v>0</v>
      </c>
      <c r="O697" t="n">
        <v>0</v>
      </c>
      <c r="P697" t="n">
        <v>0</v>
      </c>
      <c r="Q697" t="n">
        <v>0</v>
      </c>
      <c r="R697" s="2" t="inlineStr"/>
    </row>
    <row r="698" ht="15" customHeight="1">
      <c r="A698" t="inlineStr">
        <is>
          <t>A 71649-2021</t>
        </is>
      </c>
      <c r="B698" s="1" t="n">
        <v>44538</v>
      </c>
      <c r="C698" s="1" t="n">
        <v>45357</v>
      </c>
      <c r="D698" t="inlineStr">
        <is>
          <t>JÄMTLANDS LÄN</t>
        </is>
      </c>
      <c r="E698" t="inlineStr">
        <is>
          <t>HÄRJEDALEN</t>
        </is>
      </c>
      <c r="F698" t="inlineStr">
        <is>
          <t>Övriga statliga verk och myndigheter</t>
        </is>
      </c>
      <c r="G698" t="n">
        <v>3.7</v>
      </c>
      <c r="H698" t="n">
        <v>0</v>
      </c>
      <c r="I698" t="n">
        <v>0</v>
      </c>
      <c r="J698" t="n">
        <v>0</v>
      </c>
      <c r="K698" t="n">
        <v>0</v>
      </c>
      <c r="L698" t="n">
        <v>0</v>
      </c>
      <c r="M698" t="n">
        <v>0</v>
      </c>
      <c r="N698" t="n">
        <v>0</v>
      </c>
      <c r="O698" t="n">
        <v>0</v>
      </c>
      <c r="P698" t="n">
        <v>0</v>
      </c>
      <c r="Q698" t="n">
        <v>0</v>
      </c>
      <c r="R698" s="2" t="inlineStr"/>
    </row>
    <row r="699" ht="15" customHeight="1">
      <c r="A699" t="inlineStr">
        <is>
          <t>A 71668-2021</t>
        </is>
      </c>
      <c r="B699" s="1" t="n">
        <v>44538</v>
      </c>
      <c r="C699" s="1" t="n">
        <v>45357</v>
      </c>
      <c r="D699" t="inlineStr">
        <is>
          <t>JÄMTLANDS LÄN</t>
        </is>
      </c>
      <c r="E699" t="inlineStr">
        <is>
          <t>HÄRJEDALEN</t>
        </is>
      </c>
      <c r="F699" t="inlineStr">
        <is>
          <t>Övriga statliga verk och myndigheter</t>
        </is>
      </c>
      <c r="G699" t="n">
        <v>3.1</v>
      </c>
      <c r="H699" t="n">
        <v>0</v>
      </c>
      <c r="I699" t="n">
        <v>0</v>
      </c>
      <c r="J699" t="n">
        <v>0</v>
      </c>
      <c r="K699" t="n">
        <v>0</v>
      </c>
      <c r="L699" t="n">
        <v>0</v>
      </c>
      <c r="M699" t="n">
        <v>0</v>
      </c>
      <c r="N699" t="n">
        <v>0</v>
      </c>
      <c r="O699" t="n">
        <v>0</v>
      </c>
      <c r="P699" t="n">
        <v>0</v>
      </c>
      <c r="Q699" t="n">
        <v>0</v>
      </c>
      <c r="R699" s="2" t="inlineStr"/>
    </row>
    <row r="700" ht="15" customHeight="1">
      <c r="A700" t="inlineStr">
        <is>
          <t>A 71638-2021</t>
        </is>
      </c>
      <c r="B700" s="1" t="n">
        <v>44538</v>
      </c>
      <c r="C700" s="1" t="n">
        <v>45357</v>
      </c>
      <c r="D700" t="inlineStr">
        <is>
          <t>JÄMTLANDS LÄN</t>
        </is>
      </c>
      <c r="E700" t="inlineStr">
        <is>
          <t>HÄRJEDALEN</t>
        </is>
      </c>
      <c r="F700" t="inlineStr">
        <is>
          <t>Övriga statliga verk och myndigheter</t>
        </is>
      </c>
      <c r="G700" t="n">
        <v>1.2</v>
      </c>
      <c r="H700" t="n">
        <v>0</v>
      </c>
      <c r="I700" t="n">
        <v>0</v>
      </c>
      <c r="J700" t="n">
        <v>0</v>
      </c>
      <c r="K700" t="n">
        <v>0</v>
      </c>
      <c r="L700" t="n">
        <v>0</v>
      </c>
      <c r="M700" t="n">
        <v>0</v>
      </c>
      <c r="N700" t="n">
        <v>0</v>
      </c>
      <c r="O700" t="n">
        <v>0</v>
      </c>
      <c r="P700" t="n">
        <v>0</v>
      </c>
      <c r="Q700" t="n">
        <v>0</v>
      </c>
      <c r="R700" s="2" t="inlineStr"/>
    </row>
    <row r="701" ht="15" customHeight="1">
      <c r="A701" t="inlineStr">
        <is>
          <t>A 71493-2021</t>
        </is>
      </c>
      <c r="B701" s="1" t="n">
        <v>44540</v>
      </c>
      <c r="C701" s="1" t="n">
        <v>45357</v>
      </c>
      <c r="D701" t="inlineStr">
        <is>
          <t>JÄMTLANDS LÄN</t>
        </is>
      </c>
      <c r="E701" t="inlineStr">
        <is>
          <t>HÄRJEDALEN</t>
        </is>
      </c>
      <c r="G701" t="n">
        <v>0.4</v>
      </c>
      <c r="H701" t="n">
        <v>0</v>
      </c>
      <c r="I701" t="n">
        <v>0</v>
      </c>
      <c r="J701" t="n">
        <v>0</v>
      </c>
      <c r="K701" t="n">
        <v>0</v>
      </c>
      <c r="L701" t="n">
        <v>0</v>
      </c>
      <c r="M701" t="n">
        <v>0</v>
      </c>
      <c r="N701" t="n">
        <v>0</v>
      </c>
      <c r="O701" t="n">
        <v>0</v>
      </c>
      <c r="P701" t="n">
        <v>0</v>
      </c>
      <c r="Q701" t="n">
        <v>0</v>
      </c>
      <c r="R701" s="2" t="inlineStr"/>
    </row>
    <row r="702" ht="15" customHeight="1">
      <c r="A702" t="inlineStr">
        <is>
          <t>A 71467-2021</t>
        </is>
      </c>
      <c r="B702" s="1" t="n">
        <v>44540</v>
      </c>
      <c r="C702" s="1" t="n">
        <v>45357</v>
      </c>
      <c r="D702" t="inlineStr">
        <is>
          <t>JÄMTLANDS LÄN</t>
        </is>
      </c>
      <c r="E702" t="inlineStr">
        <is>
          <t>HÄRJEDALEN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71501-2021</t>
        </is>
      </c>
      <c r="B703" s="1" t="n">
        <v>44540</v>
      </c>
      <c r="C703" s="1" t="n">
        <v>45357</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71864-2021</t>
        </is>
      </c>
      <c r="B704" s="1" t="n">
        <v>44543</v>
      </c>
      <c r="C704" s="1" t="n">
        <v>45357</v>
      </c>
      <c r="D704" t="inlineStr">
        <is>
          <t>JÄMTLANDS LÄN</t>
        </is>
      </c>
      <c r="E704" t="inlineStr">
        <is>
          <t>HÄRJEDALEN</t>
        </is>
      </c>
      <c r="F704" t="inlineStr">
        <is>
          <t>Holmen skog AB</t>
        </is>
      </c>
      <c r="G704" t="n">
        <v>0.2</v>
      </c>
      <c r="H704" t="n">
        <v>0</v>
      </c>
      <c r="I704" t="n">
        <v>0</v>
      </c>
      <c r="J704" t="n">
        <v>0</v>
      </c>
      <c r="K704" t="n">
        <v>0</v>
      </c>
      <c r="L704" t="n">
        <v>0</v>
      </c>
      <c r="M704" t="n">
        <v>0</v>
      </c>
      <c r="N704" t="n">
        <v>0</v>
      </c>
      <c r="O704" t="n">
        <v>0</v>
      </c>
      <c r="P704" t="n">
        <v>0</v>
      </c>
      <c r="Q704" t="n">
        <v>0</v>
      </c>
      <c r="R704" s="2" t="inlineStr"/>
    </row>
    <row r="705" ht="15" customHeight="1">
      <c r="A705" t="inlineStr">
        <is>
          <t>A 71756-2021</t>
        </is>
      </c>
      <c r="B705" s="1" t="n">
        <v>44543</v>
      </c>
      <c r="C705" s="1" t="n">
        <v>45357</v>
      </c>
      <c r="D705" t="inlineStr">
        <is>
          <t>JÄMTLANDS LÄN</t>
        </is>
      </c>
      <c r="E705" t="inlineStr">
        <is>
          <t>HÄRJEDALEN</t>
        </is>
      </c>
      <c r="G705" t="n">
        <v>2.4</v>
      </c>
      <c r="H705" t="n">
        <v>0</v>
      </c>
      <c r="I705" t="n">
        <v>0</v>
      </c>
      <c r="J705" t="n">
        <v>0</v>
      </c>
      <c r="K705" t="n">
        <v>0</v>
      </c>
      <c r="L705" t="n">
        <v>0</v>
      </c>
      <c r="M705" t="n">
        <v>0</v>
      </c>
      <c r="N705" t="n">
        <v>0</v>
      </c>
      <c r="O705" t="n">
        <v>0</v>
      </c>
      <c r="P705" t="n">
        <v>0</v>
      </c>
      <c r="Q705" t="n">
        <v>0</v>
      </c>
      <c r="R705" s="2" t="inlineStr"/>
    </row>
    <row r="706" ht="15" customHeight="1">
      <c r="A706" t="inlineStr">
        <is>
          <t>A 71989-2021</t>
        </is>
      </c>
      <c r="B706" s="1" t="n">
        <v>44544</v>
      </c>
      <c r="C706" s="1" t="n">
        <v>45357</v>
      </c>
      <c r="D706" t="inlineStr">
        <is>
          <t>JÄMTLANDS LÄN</t>
        </is>
      </c>
      <c r="E706" t="inlineStr">
        <is>
          <t>HÄRJEDALEN</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72374-2021</t>
        </is>
      </c>
      <c r="B707" s="1" t="n">
        <v>44545</v>
      </c>
      <c r="C707" s="1" t="n">
        <v>45357</v>
      </c>
      <c r="D707" t="inlineStr">
        <is>
          <t>JÄMTLANDS LÄN</t>
        </is>
      </c>
      <c r="E707" t="inlineStr">
        <is>
          <t>HÄRJEDALEN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72790-2021</t>
        </is>
      </c>
      <c r="B708" s="1" t="n">
        <v>44547</v>
      </c>
      <c r="C708" s="1" t="n">
        <v>45357</v>
      </c>
      <c r="D708" t="inlineStr">
        <is>
          <t>JÄMTLANDS LÄN</t>
        </is>
      </c>
      <c r="E708" t="inlineStr">
        <is>
          <t>HÄRJEDALEN</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v>
      </c>
      <c r="C709" s="1" t="n">
        <v>45357</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73211-2021</t>
        </is>
      </c>
      <c r="B710" s="1" t="n">
        <v>44550</v>
      </c>
      <c r="C710" s="1" t="n">
        <v>45357</v>
      </c>
      <c r="D710" t="inlineStr">
        <is>
          <t>JÄMTLANDS LÄN</t>
        </is>
      </c>
      <c r="E710" t="inlineStr">
        <is>
          <t>HÄRJEDALEN</t>
        </is>
      </c>
      <c r="G710" t="n">
        <v>0.8</v>
      </c>
      <c r="H710" t="n">
        <v>0</v>
      </c>
      <c r="I710" t="n">
        <v>0</v>
      </c>
      <c r="J710" t="n">
        <v>0</v>
      </c>
      <c r="K710" t="n">
        <v>0</v>
      </c>
      <c r="L710" t="n">
        <v>0</v>
      </c>
      <c r="M710" t="n">
        <v>0</v>
      </c>
      <c r="N710" t="n">
        <v>0</v>
      </c>
      <c r="O710" t="n">
        <v>0</v>
      </c>
      <c r="P710" t="n">
        <v>0</v>
      </c>
      <c r="Q710" t="n">
        <v>0</v>
      </c>
      <c r="R710" s="2" t="inlineStr"/>
    </row>
    <row r="711" ht="15" customHeight="1">
      <c r="A711" t="inlineStr">
        <is>
          <t>A 73573-2021</t>
        </is>
      </c>
      <c r="B711" s="1" t="n">
        <v>44552</v>
      </c>
      <c r="C711" s="1" t="n">
        <v>45357</v>
      </c>
      <c r="D711" t="inlineStr">
        <is>
          <t>JÄMTLANDS LÄN</t>
        </is>
      </c>
      <c r="E711" t="inlineStr">
        <is>
          <t>HÄRJEDALEN</t>
        </is>
      </c>
      <c r="F711" t="inlineStr">
        <is>
          <t>Holmen skog AB</t>
        </is>
      </c>
      <c r="G711" t="n">
        <v>10.5</v>
      </c>
      <c r="H711" t="n">
        <v>0</v>
      </c>
      <c r="I711" t="n">
        <v>0</v>
      </c>
      <c r="J711" t="n">
        <v>0</v>
      </c>
      <c r="K711" t="n">
        <v>0</v>
      </c>
      <c r="L711" t="n">
        <v>0</v>
      </c>
      <c r="M711" t="n">
        <v>0</v>
      </c>
      <c r="N711" t="n">
        <v>0</v>
      </c>
      <c r="O711" t="n">
        <v>0</v>
      </c>
      <c r="P711" t="n">
        <v>0</v>
      </c>
      <c r="Q711" t="n">
        <v>0</v>
      </c>
      <c r="R711" s="2" t="inlineStr"/>
    </row>
    <row r="712" ht="15" customHeight="1">
      <c r="A712" t="inlineStr">
        <is>
          <t>A 197-2022</t>
        </is>
      </c>
      <c r="B712" s="1" t="n">
        <v>44564</v>
      </c>
      <c r="C712" s="1" t="n">
        <v>45357</v>
      </c>
      <c r="D712" t="inlineStr">
        <is>
          <t>JÄMTLANDS LÄN</t>
        </is>
      </c>
      <c r="E712" t="inlineStr">
        <is>
          <t>HÄRJEDALEN</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241-2022</t>
        </is>
      </c>
      <c r="B713" s="1" t="n">
        <v>44565</v>
      </c>
      <c r="C713" s="1" t="n">
        <v>45357</v>
      </c>
      <c r="D713" t="inlineStr">
        <is>
          <t>JÄMTLANDS LÄN</t>
        </is>
      </c>
      <c r="E713" t="inlineStr">
        <is>
          <t>HÄRJEDALEN</t>
        </is>
      </c>
      <c r="F713" t="inlineStr">
        <is>
          <t>Övriga Aktiebolag</t>
        </is>
      </c>
      <c r="G713" t="n">
        <v>16.5</v>
      </c>
      <c r="H713" t="n">
        <v>0</v>
      </c>
      <c r="I713" t="n">
        <v>0</v>
      </c>
      <c r="J713" t="n">
        <v>0</v>
      </c>
      <c r="K713" t="n">
        <v>0</v>
      </c>
      <c r="L713" t="n">
        <v>0</v>
      </c>
      <c r="M713" t="n">
        <v>0</v>
      </c>
      <c r="N713" t="n">
        <v>0</v>
      </c>
      <c r="O713" t="n">
        <v>0</v>
      </c>
      <c r="P713" t="n">
        <v>0</v>
      </c>
      <c r="Q713" t="n">
        <v>0</v>
      </c>
      <c r="R713" s="2" t="inlineStr"/>
    </row>
    <row r="714" ht="15" customHeight="1">
      <c r="A714" t="inlineStr">
        <is>
          <t>A 239-2022</t>
        </is>
      </c>
      <c r="B714" s="1" t="n">
        <v>44565</v>
      </c>
      <c r="C714" s="1" t="n">
        <v>45357</v>
      </c>
      <c r="D714" t="inlineStr">
        <is>
          <t>JÄMTLANDS LÄN</t>
        </is>
      </c>
      <c r="E714" t="inlineStr">
        <is>
          <t>HÄRJEDALEN</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240-2022</t>
        </is>
      </c>
      <c r="B715" s="1" t="n">
        <v>44565</v>
      </c>
      <c r="C715" s="1" t="n">
        <v>45357</v>
      </c>
      <c r="D715" t="inlineStr">
        <is>
          <t>JÄMTLANDS LÄN</t>
        </is>
      </c>
      <c r="E715" t="inlineStr">
        <is>
          <t>HÄRJEDALEN</t>
        </is>
      </c>
      <c r="F715" t="inlineStr">
        <is>
          <t>Övriga Aktiebolag</t>
        </is>
      </c>
      <c r="G715" t="n">
        <v>53.9</v>
      </c>
      <c r="H715" t="n">
        <v>0</v>
      </c>
      <c r="I715" t="n">
        <v>0</v>
      </c>
      <c r="J715" t="n">
        <v>0</v>
      </c>
      <c r="K715" t="n">
        <v>0</v>
      </c>
      <c r="L715" t="n">
        <v>0</v>
      </c>
      <c r="M715" t="n">
        <v>0</v>
      </c>
      <c r="N715" t="n">
        <v>0</v>
      </c>
      <c r="O715" t="n">
        <v>0</v>
      </c>
      <c r="P715" t="n">
        <v>0</v>
      </c>
      <c r="Q715" t="n">
        <v>0</v>
      </c>
      <c r="R715" s="2" t="inlineStr"/>
    </row>
    <row r="716" ht="15" customHeight="1">
      <c r="A716" t="inlineStr">
        <is>
          <t>A 537-2022</t>
        </is>
      </c>
      <c r="B716" s="1" t="n">
        <v>44566</v>
      </c>
      <c r="C716" s="1" t="n">
        <v>45357</v>
      </c>
      <c r="D716" t="inlineStr">
        <is>
          <t>JÄMTLANDS LÄN</t>
        </is>
      </c>
      <c r="E716" t="inlineStr">
        <is>
          <t>HÄRJEDALEN</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859-2022</t>
        </is>
      </c>
      <c r="B717" s="1" t="n">
        <v>44571</v>
      </c>
      <c r="C717" s="1" t="n">
        <v>45357</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2846-2022</t>
        </is>
      </c>
      <c r="B718" s="1" t="n">
        <v>44581</v>
      </c>
      <c r="C718" s="1" t="n">
        <v>45357</v>
      </c>
      <c r="D718" t="inlineStr">
        <is>
          <t>JÄMTLANDS LÄN</t>
        </is>
      </c>
      <c r="E718" t="inlineStr">
        <is>
          <t>HÄRJEDALEN</t>
        </is>
      </c>
      <c r="G718" t="n">
        <v>15.2</v>
      </c>
      <c r="H718" t="n">
        <v>0</v>
      </c>
      <c r="I718" t="n">
        <v>0</v>
      </c>
      <c r="J718" t="n">
        <v>0</v>
      </c>
      <c r="K718" t="n">
        <v>0</v>
      </c>
      <c r="L718" t="n">
        <v>0</v>
      </c>
      <c r="M718" t="n">
        <v>0</v>
      </c>
      <c r="N718" t="n">
        <v>0</v>
      </c>
      <c r="O718" t="n">
        <v>0</v>
      </c>
      <c r="P718" t="n">
        <v>0</v>
      </c>
      <c r="Q718" t="n">
        <v>0</v>
      </c>
      <c r="R718" s="2" t="inlineStr"/>
    </row>
    <row r="719" ht="15" customHeight="1">
      <c r="A719" t="inlineStr">
        <is>
          <t>A 3163-2022</t>
        </is>
      </c>
      <c r="B719" s="1" t="n">
        <v>44582</v>
      </c>
      <c r="C719" s="1" t="n">
        <v>45357</v>
      </c>
      <c r="D719" t="inlineStr">
        <is>
          <t>JÄMTLANDS LÄN</t>
        </is>
      </c>
      <c r="E719" t="inlineStr">
        <is>
          <t>HÄRJEDALEN</t>
        </is>
      </c>
      <c r="G719" t="n">
        <v>1.6</v>
      </c>
      <c r="H719" t="n">
        <v>0</v>
      </c>
      <c r="I719" t="n">
        <v>0</v>
      </c>
      <c r="J719" t="n">
        <v>0</v>
      </c>
      <c r="K719" t="n">
        <v>0</v>
      </c>
      <c r="L719" t="n">
        <v>0</v>
      </c>
      <c r="M719" t="n">
        <v>0</v>
      </c>
      <c r="N719" t="n">
        <v>0</v>
      </c>
      <c r="O719" t="n">
        <v>0</v>
      </c>
      <c r="P719" t="n">
        <v>0</v>
      </c>
      <c r="Q719" t="n">
        <v>0</v>
      </c>
      <c r="R719" s="2" t="inlineStr"/>
    </row>
    <row r="720" ht="15" customHeight="1">
      <c r="A720" t="inlineStr">
        <is>
          <t>A 3373-2022</t>
        </is>
      </c>
      <c r="B720" s="1" t="n">
        <v>44585</v>
      </c>
      <c r="C720" s="1" t="n">
        <v>45357</v>
      </c>
      <c r="D720" t="inlineStr">
        <is>
          <t>JÄMTLANDS LÄN</t>
        </is>
      </c>
      <c r="E720" t="inlineStr">
        <is>
          <t>HÄRJEDALEN</t>
        </is>
      </c>
      <c r="G720" t="n">
        <v>7.4</v>
      </c>
      <c r="H720" t="n">
        <v>0</v>
      </c>
      <c r="I720" t="n">
        <v>0</v>
      </c>
      <c r="J720" t="n">
        <v>0</v>
      </c>
      <c r="K720" t="n">
        <v>0</v>
      </c>
      <c r="L720" t="n">
        <v>0</v>
      </c>
      <c r="M720" t="n">
        <v>0</v>
      </c>
      <c r="N720" t="n">
        <v>0</v>
      </c>
      <c r="O720" t="n">
        <v>0</v>
      </c>
      <c r="P720" t="n">
        <v>0</v>
      </c>
      <c r="Q720" t="n">
        <v>0</v>
      </c>
      <c r="R720" s="2" t="inlineStr"/>
    </row>
    <row r="721" ht="15" customHeight="1">
      <c r="A721" t="inlineStr">
        <is>
          <t>A 4487-2022</t>
        </is>
      </c>
      <c r="B721" s="1" t="n">
        <v>44589</v>
      </c>
      <c r="C721" s="1" t="n">
        <v>45357</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4914-2022</t>
        </is>
      </c>
      <c r="B722" s="1" t="n">
        <v>44593</v>
      </c>
      <c r="C722" s="1" t="n">
        <v>45357</v>
      </c>
      <c r="D722" t="inlineStr">
        <is>
          <t>JÄMTLANDS LÄN</t>
        </is>
      </c>
      <c r="E722" t="inlineStr">
        <is>
          <t>HÄRJEDALEN</t>
        </is>
      </c>
      <c r="F722" t="inlineStr">
        <is>
          <t>Sveaskog</t>
        </is>
      </c>
      <c r="G722" t="n">
        <v>7.7</v>
      </c>
      <c r="H722" t="n">
        <v>0</v>
      </c>
      <c r="I722" t="n">
        <v>0</v>
      </c>
      <c r="J722" t="n">
        <v>0</v>
      </c>
      <c r="K722" t="n">
        <v>0</v>
      </c>
      <c r="L722" t="n">
        <v>0</v>
      </c>
      <c r="M722" t="n">
        <v>0</v>
      </c>
      <c r="N722" t="n">
        <v>0</v>
      </c>
      <c r="O722" t="n">
        <v>0</v>
      </c>
      <c r="P722" t="n">
        <v>0</v>
      </c>
      <c r="Q722" t="n">
        <v>0</v>
      </c>
      <c r="R722" s="2" t="inlineStr"/>
    </row>
    <row r="723" ht="15" customHeight="1">
      <c r="A723" t="inlineStr">
        <is>
          <t>A 6309-2022</t>
        </is>
      </c>
      <c r="B723" s="1" t="n">
        <v>44600</v>
      </c>
      <c r="C723" s="1" t="n">
        <v>45357</v>
      </c>
      <c r="D723" t="inlineStr">
        <is>
          <t>JÄMTLANDS LÄN</t>
        </is>
      </c>
      <c r="E723" t="inlineStr">
        <is>
          <t>HÄRJEDALEN</t>
        </is>
      </c>
      <c r="G723" t="n">
        <v>38.2</v>
      </c>
      <c r="H723" t="n">
        <v>0</v>
      </c>
      <c r="I723" t="n">
        <v>0</v>
      </c>
      <c r="J723" t="n">
        <v>0</v>
      </c>
      <c r="K723" t="n">
        <v>0</v>
      </c>
      <c r="L723" t="n">
        <v>0</v>
      </c>
      <c r="M723" t="n">
        <v>0</v>
      </c>
      <c r="N723" t="n">
        <v>0</v>
      </c>
      <c r="O723" t="n">
        <v>0</v>
      </c>
      <c r="P723" t="n">
        <v>0</v>
      </c>
      <c r="Q723" t="n">
        <v>0</v>
      </c>
      <c r="R723" s="2" t="inlineStr"/>
    </row>
    <row r="724" ht="15" customHeight="1">
      <c r="A724" t="inlineStr">
        <is>
          <t>A 6208-2022</t>
        </is>
      </c>
      <c r="B724" s="1" t="n">
        <v>44600</v>
      </c>
      <c r="C724" s="1" t="n">
        <v>45357</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6312-2022</t>
        </is>
      </c>
      <c r="B725" s="1" t="n">
        <v>44600</v>
      </c>
      <c r="C725" s="1" t="n">
        <v>45357</v>
      </c>
      <c r="D725" t="inlineStr">
        <is>
          <t>JÄMTLANDS LÄN</t>
        </is>
      </c>
      <c r="E725" t="inlineStr">
        <is>
          <t>HÄRJEDALEN</t>
        </is>
      </c>
      <c r="G725" t="n">
        <v>18.4</v>
      </c>
      <c r="H725" t="n">
        <v>0</v>
      </c>
      <c r="I725" t="n">
        <v>0</v>
      </c>
      <c r="J725" t="n">
        <v>0</v>
      </c>
      <c r="K725" t="n">
        <v>0</v>
      </c>
      <c r="L725" t="n">
        <v>0</v>
      </c>
      <c r="M725" t="n">
        <v>0</v>
      </c>
      <c r="N725" t="n">
        <v>0</v>
      </c>
      <c r="O725" t="n">
        <v>0</v>
      </c>
      <c r="P725" t="n">
        <v>0</v>
      </c>
      <c r="Q725" t="n">
        <v>0</v>
      </c>
      <c r="R725" s="2" t="inlineStr"/>
    </row>
    <row r="726" ht="15" customHeight="1">
      <c r="A726" t="inlineStr">
        <is>
          <t>A 6444-2022</t>
        </is>
      </c>
      <c r="B726" s="1" t="n">
        <v>44601</v>
      </c>
      <c r="C726" s="1" t="n">
        <v>45357</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6933-2022</t>
        </is>
      </c>
      <c r="B727" s="1" t="n">
        <v>44603</v>
      </c>
      <c r="C727" s="1" t="n">
        <v>45357</v>
      </c>
      <c r="D727" t="inlineStr">
        <is>
          <t>JÄMTLANDS LÄN</t>
        </is>
      </c>
      <c r="E727" t="inlineStr">
        <is>
          <t>HÄRJEDALEN</t>
        </is>
      </c>
      <c r="F727" t="inlineStr">
        <is>
          <t>Holmen skog AB</t>
        </is>
      </c>
      <c r="G727" t="n">
        <v>3.9</v>
      </c>
      <c r="H727" t="n">
        <v>0</v>
      </c>
      <c r="I727" t="n">
        <v>0</v>
      </c>
      <c r="J727" t="n">
        <v>0</v>
      </c>
      <c r="K727" t="n">
        <v>0</v>
      </c>
      <c r="L727" t="n">
        <v>0</v>
      </c>
      <c r="M727" t="n">
        <v>0</v>
      </c>
      <c r="N727" t="n">
        <v>0</v>
      </c>
      <c r="O727" t="n">
        <v>0</v>
      </c>
      <c r="P727" t="n">
        <v>0</v>
      </c>
      <c r="Q727" t="n">
        <v>0</v>
      </c>
      <c r="R727" s="2" t="inlineStr"/>
    </row>
    <row r="728" ht="15" customHeight="1">
      <c r="A728" t="inlineStr">
        <is>
          <t>A 6938-2022</t>
        </is>
      </c>
      <c r="B728" s="1" t="n">
        <v>44603</v>
      </c>
      <c r="C728" s="1" t="n">
        <v>45357</v>
      </c>
      <c r="D728" t="inlineStr">
        <is>
          <t>JÄMTLANDS LÄN</t>
        </is>
      </c>
      <c r="E728" t="inlineStr">
        <is>
          <t>HÄRJEDALEN</t>
        </is>
      </c>
      <c r="F728" t="inlineStr">
        <is>
          <t>Holmen skog AB</t>
        </is>
      </c>
      <c r="G728" t="n">
        <v>4.3</v>
      </c>
      <c r="H728" t="n">
        <v>0</v>
      </c>
      <c r="I728" t="n">
        <v>0</v>
      </c>
      <c r="J728" t="n">
        <v>0</v>
      </c>
      <c r="K728" t="n">
        <v>0</v>
      </c>
      <c r="L728" t="n">
        <v>0</v>
      </c>
      <c r="M728" t="n">
        <v>0</v>
      </c>
      <c r="N728" t="n">
        <v>0</v>
      </c>
      <c r="O728" t="n">
        <v>0</v>
      </c>
      <c r="P728" t="n">
        <v>0</v>
      </c>
      <c r="Q728" t="n">
        <v>0</v>
      </c>
      <c r="R728" s="2" t="inlineStr"/>
    </row>
    <row r="729" ht="15" customHeight="1">
      <c r="A729" t="inlineStr">
        <is>
          <t>A 6935-2022</t>
        </is>
      </c>
      <c r="B729" s="1" t="n">
        <v>44603</v>
      </c>
      <c r="C729" s="1" t="n">
        <v>45357</v>
      </c>
      <c r="D729" t="inlineStr">
        <is>
          <t>JÄMTLANDS LÄN</t>
        </is>
      </c>
      <c r="E729" t="inlineStr">
        <is>
          <t>HÄRJEDALEN</t>
        </is>
      </c>
      <c r="F729" t="inlineStr">
        <is>
          <t>Holmen skog AB</t>
        </is>
      </c>
      <c r="G729" t="n">
        <v>4</v>
      </c>
      <c r="H729" t="n">
        <v>0</v>
      </c>
      <c r="I729" t="n">
        <v>0</v>
      </c>
      <c r="J729" t="n">
        <v>0</v>
      </c>
      <c r="K729" t="n">
        <v>0</v>
      </c>
      <c r="L729" t="n">
        <v>0</v>
      </c>
      <c r="M729" t="n">
        <v>0</v>
      </c>
      <c r="N729" t="n">
        <v>0</v>
      </c>
      <c r="O729" t="n">
        <v>0</v>
      </c>
      <c r="P729" t="n">
        <v>0</v>
      </c>
      <c r="Q729" t="n">
        <v>0</v>
      </c>
      <c r="R729" s="2" t="inlineStr"/>
    </row>
    <row r="730" ht="15" customHeight="1">
      <c r="A730" t="inlineStr">
        <is>
          <t>A 6941-2022</t>
        </is>
      </c>
      <c r="B730" s="1" t="n">
        <v>44603</v>
      </c>
      <c r="C730" s="1" t="n">
        <v>45357</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8368-2022</t>
        </is>
      </c>
      <c r="B731" s="1" t="n">
        <v>44610</v>
      </c>
      <c r="C731" s="1" t="n">
        <v>45357</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8538-2022</t>
        </is>
      </c>
      <c r="B732" s="1" t="n">
        <v>44613</v>
      </c>
      <c r="C732" s="1" t="n">
        <v>45357</v>
      </c>
      <c r="D732" t="inlineStr">
        <is>
          <t>JÄMTLANDS LÄN</t>
        </is>
      </c>
      <c r="E732" t="inlineStr">
        <is>
          <t>HÄRJEDALEN</t>
        </is>
      </c>
      <c r="F732" t="inlineStr">
        <is>
          <t>Naturvårdsverket</t>
        </is>
      </c>
      <c r="G732" t="n">
        <v>0.4</v>
      </c>
      <c r="H732" t="n">
        <v>0</v>
      </c>
      <c r="I732" t="n">
        <v>0</v>
      </c>
      <c r="J732" t="n">
        <v>0</v>
      </c>
      <c r="K732" t="n">
        <v>0</v>
      </c>
      <c r="L732" t="n">
        <v>0</v>
      </c>
      <c r="M732" t="n">
        <v>0</v>
      </c>
      <c r="N732" t="n">
        <v>0</v>
      </c>
      <c r="O732" t="n">
        <v>0</v>
      </c>
      <c r="P732" t="n">
        <v>0</v>
      </c>
      <c r="Q732" t="n">
        <v>0</v>
      </c>
      <c r="R732" s="2" t="inlineStr"/>
    </row>
    <row r="733" ht="15" customHeight="1">
      <c r="A733" t="inlineStr">
        <is>
          <t>A 8823-2022</t>
        </is>
      </c>
      <c r="B733" s="1" t="n">
        <v>44614</v>
      </c>
      <c r="C733" s="1" t="n">
        <v>45357</v>
      </c>
      <c r="D733" t="inlineStr">
        <is>
          <t>JÄMTLANDS LÄN</t>
        </is>
      </c>
      <c r="E733" t="inlineStr">
        <is>
          <t>HÄRJEDALEN</t>
        </is>
      </c>
      <c r="F733" t="inlineStr">
        <is>
          <t>Naturvårdsverket</t>
        </is>
      </c>
      <c r="G733" t="n">
        <v>23.7</v>
      </c>
      <c r="H733" t="n">
        <v>0</v>
      </c>
      <c r="I733" t="n">
        <v>0</v>
      </c>
      <c r="J733" t="n">
        <v>0</v>
      </c>
      <c r="K733" t="n">
        <v>0</v>
      </c>
      <c r="L733" t="n">
        <v>0</v>
      </c>
      <c r="M733" t="n">
        <v>0</v>
      </c>
      <c r="N733" t="n">
        <v>0</v>
      </c>
      <c r="O733" t="n">
        <v>0</v>
      </c>
      <c r="P733" t="n">
        <v>0</v>
      </c>
      <c r="Q733" t="n">
        <v>0</v>
      </c>
      <c r="R733" s="2" t="inlineStr"/>
    </row>
    <row r="734" ht="15" customHeight="1">
      <c r="A734" t="inlineStr">
        <is>
          <t>A 9095-2022</t>
        </is>
      </c>
      <c r="B734" s="1" t="n">
        <v>44615</v>
      </c>
      <c r="C734" s="1" t="n">
        <v>45357</v>
      </c>
      <c r="D734" t="inlineStr">
        <is>
          <t>JÄMTLANDS LÄN</t>
        </is>
      </c>
      <c r="E734" t="inlineStr">
        <is>
          <t>HÄRJEDALEN</t>
        </is>
      </c>
      <c r="F734" t="inlineStr">
        <is>
          <t>Kyrkan</t>
        </is>
      </c>
      <c r="G734" t="n">
        <v>15.9</v>
      </c>
      <c r="H734" t="n">
        <v>0</v>
      </c>
      <c r="I734" t="n">
        <v>0</v>
      </c>
      <c r="J734" t="n">
        <v>0</v>
      </c>
      <c r="K734" t="n">
        <v>0</v>
      </c>
      <c r="L734" t="n">
        <v>0</v>
      </c>
      <c r="M734" t="n">
        <v>0</v>
      </c>
      <c r="N734" t="n">
        <v>0</v>
      </c>
      <c r="O734" t="n">
        <v>0</v>
      </c>
      <c r="P734" t="n">
        <v>0</v>
      </c>
      <c r="Q734" t="n">
        <v>0</v>
      </c>
      <c r="R734" s="2" t="inlineStr"/>
    </row>
    <row r="735" ht="15" customHeight="1">
      <c r="A735" t="inlineStr">
        <is>
          <t>A 10504-2022</t>
        </is>
      </c>
      <c r="B735" s="1" t="n">
        <v>44623</v>
      </c>
      <c r="C735" s="1" t="n">
        <v>45357</v>
      </c>
      <c r="D735" t="inlineStr">
        <is>
          <t>JÄMTLANDS LÄN</t>
        </is>
      </c>
      <c r="E735" t="inlineStr">
        <is>
          <t>HÄRJEDALEN</t>
        </is>
      </c>
      <c r="F735" t="inlineStr">
        <is>
          <t>Holmen skog AB</t>
        </is>
      </c>
      <c r="G735" t="n">
        <v>11.6</v>
      </c>
      <c r="H735" t="n">
        <v>0</v>
      </c>
      <c r="I735" t="n">
        <v>0</v>
      </c>
      <c r="J735" t="n">
        <v>0</v>
      </c>
      <c r="K735" t="n">
        <v>0</v>
      </c>
      <c r="L735" t="n">
        <v>0</v>
      </c>
      <c r="M735" t="n">
        <v>0</v>
      </c>
      <c r="N735" t="n">
        <v>0</v>
      </c>
      <c r="O735" t="n">
        <v>0</v>
      </c>
      <c r="P735" t="n">
        <v>0</v>
      </c>
      <c r="Q735" t="n">
        <v>0</v>
      </c>
      <c r="R735" s="2" t="inlineStr"/>
    </row>
    <row r="736" ht="15" customHeight="1">
      <c r="A736" t="inlineStr">
        <is>
          <t>A 10727-2022</t>
        </is>
      </c>
      <c r="B736" s="1" t="n">
        <v>44627</v>
      </c>
      <c r="C736" s="1" t="n">
        <v>45357</v>
      </c>
      <c r="D736" t="inlineStr">
        <is>
          <t>JÄMTLANDS LÄN</t>
        </is>
      </c>
      <c r="E736" t="inlineStr">
        <is>
          <t>HÄRJEDALEN</t>
        </is>
      </c>
      <c r="F736" t="inlineStr">
        <is>
          <t>Holmen skog AB</t>
        </is>
      </c>
      <c r="G736" t="n">
        <v>12.6</v>
      </c>
      <c r="H736" t="n">
        <v>0</v>
      </c>
      <c r="I736" t="n">
        <v>0</v>
      </c>
      <c r="J736" t="n">
        <v>0</v>
      </c>
      <c r="K736" t="n">
        <v>0</v>
      </c>
      <c r="L736" t="n">
        <v>0</v>
      </c>
      <c r="M736" t="n">
        <v>0</v>
      </c>
      <c r="N736" t="n">
        <v>0</v>
      </c>
      <c r="O736" t="n">
        <v>0</v>
      </c>
      <c r="P736" t="n">
        <v>0</v>
      </c>
      <c r="Q736" t="n">
        <v>0</v>
      </c>
      <c r="R736" s="2" t="inlineStr"/>
    </row>
    <row r="737" ht="15" customHeight="1">
      <c r="A737" t="inlineStr">
        <is>
          <t>A 10741-2022</t>
        </is>
      </c>
      <c r="B737" s="1" t="n">
        <v>44627</v>
      </c>
      <c r="C737" s="1" t="n">
        <v>45357</v>
      </c>
      <c r="D737" t="inlineStr">
        <is>
          <t>JÄMTLANDS LÄN</t>
        </is>
      </c>
      <c r="E737" t="inlineStr">
        <is>
          <t>HÄRJEDALEN</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10956-2022</t>
        </is>
      </c>
      <c r="B738" s="1" t="n">
        <v>44628</v>
      </c>
      <c r="C738" s="1" t="n">
        <v>45357</v>
      </c>
      <c r="D738" t="inlineStr">
        <is>
          <t>JÄMTLANDS LÄN</t>
        </is>
      </c>
      <c r="E738" t="inlineStr">
        <is>
          <t>HÄRJEDALEN</t>
        </is>
      </c>
      <c r="F738" t="inlineStr">
        <is>
          <t>Holmen skog AB</t>
        </is>
      </c>
      <c r="G738" t="n">
        <v>21.8</v>
      </c>
      <c r="H738" t="n">
        <v>0</v>
      </c>
      <c r="I738" t="n">
        <v>0</v>
      </c>
      <c r="J738" t="n">
        <v>0</v>
      </c>
      <c r="K738" t="n">
        <v>0</v>
      </c>
      <c r="L738" t="n">
        <v>0</v>
      </c>
      <c r="M738" t="n">
        <v>0</v>
      </c>
      <c r="N738" t="n">
        <v>0</v>
      </c>
      <c r="O738" t="n">
        <v>0</v>
      </c>
      <c r="P738" t="n">
        <v>0</v>
      </c>
      <c r="Q738" t="n">
        <v>0</v>
      </c>
      <c r="R738" s="2" t="inlineStr"/>
    </row>
    <row r="739" ht="15" customHeight="1">
      <c r="A739" t="inlineStr">
        <is>
          <t>A 10959-2022</t>
        </is>
      </c>
      <c r="B739" s="1" t="n">
        <v>44628</v>
      </c>
      <c r="C739" s="1" t="n">
        <v>45357</v>
      </c>
      <c r="D739" t="inlineStr">
        <is>
          <t>JÄMTLANDS LÄN</t>
        </is>
      </c>
      <c r="E739" t="inlineStr">
        <is>
          <t>HÄRJEDALEN</t>
        </is>
      </c>
      <c r="G739" t="n">
        <v>2.1</v>
      </c>
      <c r="H739" t="n">
        <v>0</v>
      </c>
      <c r="I739" t="n">
        <v>0</v>
      </c>
      <c r="J739" t="n">
        <v>0</v>
      </c>
      <c r="K739" t="n">
        <v>0</v>
      </c>
      <c r="L739" t="n">
        <v>0</v>
      </c>
      <c r="M739" t="n">
        <v>0</v>
      </c>
      <c r="N739" t="n">
        <v>0</v>
      </c>
      <c r="O739" t="n">
        <v>0</v>
      </c>
      <c r="P739" t="n">
        <v>0</v>
      </c>
      <c r="Q739" t="n">
        <v>0</v>
      </c>
      <c r="R739" s="2" t="inlineStr"/>
    </row>
    <row r="740" ht="15" customHeight="1">
      <c r="A740" t="inlineStr">
        <is>
          <t>A 11334-2022</t>
        </is>
      </c>
      <c r="B740" s="1" t="n">
        <v>44630</v>
      </c>
      <c r="C740" s="1" t="n">
        <v>45357</v>
      </c>
      <c r="D740" t="inlineStr">
        <is>
          <t>JÄMTLANDS LÄN</t>
        </is>
      </c>
      <c r="E740" t="inlineStr">
        <is>
          <t>HÄRJEDALEN</t>
        </is>
      </c>
      <c r="F740" t="inlineStr">
        <is>
          <t>Holmen skog AB</t>
        </is>
      </c>
      <c r="G740" t="n">
        <v>5.8</v>
      </c>
      <c r="H740" t="n">
        <v>0</v>
      </c>
      <c r="I740" t="n">
        <v>0</v>
      </c>
      <c r="J740" t="n">
        <v>0</v>
      </c>
      <c r="K740" t="n">
        <v>0</v>
      </c>
      <c r="L740" t="n">
        <v>0</v>
      </c>
      <c r="M740" t="n">
        <v>0</v>
      </c>
      <c r="N740" t="n">
        <v>0</v>
      </c>
      <c r="O740" t="n">
        <v>0</v>
      </c>
      <c r="P740" t="n">
        <v>0</v>
      </c>
      <c r="Q740" t="n">
        <v>0</v>
      </c>
      <c r="R740" s="2" t="inlineStr"/>
    </row>
    <row r="741" ht="15" customHeight="1">
      <c r="A741" t="inlineStr">
        <is>
          <t>A 11512-2022</t>
        </is>
      </c>
      <c r="B741" s="1" t="n">
        <v>44631</v>
      </c>
      <c r="C741" s="1" t="n">
        <v>45357</v>
      </c>
      <c r="D741" t="inlineStr">
        <is>
          <t>JÄMTLANDS LÄN</t>
        </is>
      </c>
      <c r="E741" t="inlineStr">
        <is>
          <t>HÄRJEDALEN</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11528-2022</t>
        </is>
      </c>
      <c r="B742" s="1" t="n">
        <v>44631</v>
      </c>
      <c r="C742" s="1" t="n">
        <v>45357</v>
      </c>
      <c r="D742" t="inlineStr">
        <is>
          <t>JÄMTLANDS LÄN</t>
        </is>
      </c>
      <c r="E742" t="inlineStr">
        <is>
          <t>HÄRJEDALEN</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11553-2022</t>
        </is>
      </c>
      <c r="B743" s="1" t="n">
        <v>44631</v>
      </c>
      <c r="C743" s="1" t="n">
        <v>45357</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11525-2022</t>
        </is>
      </c>
      <c r="B744" s="1" t="n">
        <v>44631</v>
      </c>
      <c r="C744" s="1" t="n">
        <v>45357</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11545-2022</t>
        </is>
      </c>
      <c r="B745" s="1" t="n">
        <v>44631</v>
      </c>
      <c r="C745" s="1" t="n">
        <v>45357</v>
      </c>
      <c r="D745" t="inlineStr">
        <is>
          <t>JÄMTLANDS LÄN</t>
        </is>
      </c>
      <c r="E745" t="inlineStr">
        <is>
          <t>HÄRJEDALEN</t>
        </is>
      </c>
      <c r="F745" t="inlineStr">
        <is>
          <t>Holmen skog AB</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11522-2022</t>
        </is>
      </c>
      <c r="B746" s="1" t="n">
        <v>44631</v>
      </c>
      <c r="C746" s="1" t="n">
        <v>45357</v>
      </c>
      <c r="D746" t="inlineStr">
        <is>
          <t>JÄMTLANDS LÄN</t>
        </is>
      </c>
      <c r="E746" t="inlineStr">
        <is>
          <t>HÄRJEDALEN</t>
        </is>
      </c>
      <c r="F746" t="inlineStr">
        <is>
          <t>Holmen skog AB</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11527-2022</t>
        </is>
      </c>
      <c r="B747" s="1" t="n">
        <v>44631</v>
      </c>
      <c r="C747" s="1" t="n">
        <v>45357</v>
      </c>
      <c r="D747" t="inlineStr">
        <is>
          <t>JÄMTLANDS LÄN</t>
        </is>
      </c>
      <c r="E747" t="inlineStr">
        <is>
          <t>HÄRJEDALEN</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11557-2022</t>
        </is>
      </c>
      <c r="B748" s="1" t="n">
        <v>44631</v>
      </c>
      <c r="C748" s="1" t="n">
        <v>45357</v>
      </c>
      <c r="D748" t="inlineStr">
        <is>
          <t>JÄMTLANDS LÄN</t>
        </is>
      </c>
      <c r="E748" t="inlineStr">
        <is>
          <t>HÄRJEDALEN</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11541-2022</t>
        </is>
      </c>
      <c r="B749" s="1" t="n">
        <v>44631</v>
      </c>
      <c r="C749" s="1" t="n">
        <v>45357</v>
      </c>
      <c r="D749" t="inlineStr">
        <is>
          <t>JÄMTLANDS LÄN</t>
        </is>
      </c>
      <c r="E749" t="inlineStr">
        <is>
          <t>HÄRJEDALEN</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11551-2022</t>
        </is>
      </c>
      <c r="B750" s="1" t="n">
        <v>44631</v>
      </c>
      <c r="C750" s="1" t="n">
        <v>45357</v>
      </c>
      <c r="D750" t="inlineStr">
        <is>
          <t>JÄMTLANDS LÄN</t>
        </is>
      </c>
      <c r="E750" t="inlineStr">
        <is>
          <t>HÄRJEDALEN</t>
        </is>
      </c>
      <c r="F750" t="inlineStr">
        <is>
          <t>Holmen skog AB</t>
        </is>
      </c>
      <c r="G750" t="n">
        <v>17.6</v>
      </c>
      <c r="H750" t="n">
        <v>0</v>
      </c>
      <c r="I750" t="n">
        <v>0</v>
      </c>
      <c r="J750" t="n">
        <v>0</v>
      </c>
      <c r="K750" t="n">
        <v>0</v>
      </c>
      <c r="L750" t="n">
        <v>0</v>
      </c>
      <c r="M750" t="n">
        <v>0</v>
      </c>
      <c r="N750" t="n">
        <v>0</v>
      </c>
      <c r="O750" t="n">
        <v>0</v>
      </c>
      <c r="P750" t="n">
        <v>0</v>
      </c>
      <c r="Q750" t="n">
        <v>0</v>
      </c>
      <c r="R750" s="2" t="inlineStr"/>
    </row>
    <row r="751" ht="15" customHeight="1">
      <c r="A751" t="inlineStr">
        <is>
          <t>A 12468-2022</t>
        </is>
      </c>
      <c r="B751" s="1" t="n">
        <v>44638</v>
      </c>
      <c r="C751" s="1" t="n">
        <v>45357</v>
      </c>
      <c r="D751" t="inlineStr">
        <is>
          <t>JÄMTLANDS LÄN</t>
        </is>
      </c>
      <c r="E751" t="inlineStr">
        <is>
          <t>HÄRJEDALEN</t>
        </is>
      </c>
      <c r="G751" t="n">
        <v>2.5</v>
      </c>
      <c r="H751" t="n">
        <v>0</v>
      </c>
      <c r="I751" t="n">
        <v>0</v>
      </c>
      <c r="J751" t="n">
        <v>0</v>
      </c>
      <c r="K751" t="n">
        <v>0</v>
      </c>
      <c r="L751" t="n">
        <v>0</v>
      </c>
      <c r="M751" t="n">
        <v>0</v>
      </c>
      <c r="N751" t="n">
        <v>0</v>
      </c>
      <c r="O751" t="n">
        <v>0</v>
      </c>
      <c r="P751" t="n">
        <v>0</v>
      </c>
      <c r="Q751" t="n">
        <v>0</v>
      </c>
      <c r="R751" s="2" t="inlineStr"/>
    </row>
    <row r="752" ht="15" customHeight="1">
      <c r="A752" t="inlineStr">
        <is>
          <t>A 12810-2022</t>
        </is>
      </c>
      <c r="B752" s="1" t="n">
        <v>44642</v>
      </c>
      <c r="C752" s="1" t="n">
        <v>45357</v>
      </c>
      <c r="D752" t="inlineStr">
        <is>
          <t>JÄMTLANDS LÄN</t>
        </is>
      </c>
      <c r="E752" t="inlineStr">
        <is>
          <t>HÄRJEDALEN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13081-2022</t>
        </is>
      </c>
      <c r="B753" s="1" t="n">
        <v>44643</v>
      </c>
      <c r="C753" s="1" t="n">
        <v>45357</v>
      </c>
      <c r="D753" t="inlineStr">
        <is>
          <t>JÄMTLANDS LÄN</t>
        </is>
      </c>
      <c r="E753" t="inlineStr">
        <is>
          <t>HÄRJEDALEN</t>
        </is>
      </c>
      <c r="G753" t="n">
        <v>1</v>
      </c>
      <c r="H753" t="n">
        <v>0</v>
      </c>
      <c r="I753" t="n">
        <v>0</v>
      </c>
      <c r="J753" t="n">
        <v>0</v>
      </c>
      <c r="K753" t="n">
        <v>0</v>
      </c>
      <c r="L753" t="n">
        <v>0</v>
      </c>
      <c r="M753" t="n">
        <v>0</v>
      </c>
      <c r="N753" t="n">
        <v>0</v>
      </c>
      <c r="O753" t="n">
        <v>0</v>
      </c>
      <c r="P753" t="n">
        <v>0</v>
      </c>
      <c r="Q753" t="n">
        <v>0</v>
      </c>
      <c r="R753" s="2" t="inlineStr"/>
    </row>
    <row r="754" ht="15" customHeight="1">
      <c r="A754" t="inlineStr">
        <is>
          <t>A 13991-2022</t>
        </is>
      </c>
      <c r="B754" s="1" t="n">
        <v>44650</v>
      </c>
      <c r="C754" s="1" t="n">
        <v>45357</v>
      </c>
      <c r="D754" t="inlineStr">
        <is>
          <t>JÄMTLANDS LÄN</t>
        </is>
      </c>
      <c r="E754" t="inlineStr">
        <is>
          <t>HÄRJEDALEN</t>
        </is>
      </c>
      <c r="F754" t="inlineStr">
        <is>
          <t>Holmen skog AB</t>
        </is>
      </c>
      <c r="G754" t="n">
        <v>6.2</v>
      </c>
      <c r="H754" t="n">
        <v>0</v>
      </c>
      <c r="I754" t="n">
        <v>0</v>
      </c>
      <c r="J754" t="n">
        <v>0</v>
      </c>
      <c r="K754" t="n">
        <v>0</v>
      </c>
      <c r="L754" t="n">
        <v>0</v>
      </c>
      <c r="M754" t="n">
        <v>0</v>
      </c>
      <c r="N754" t="n">
        <v>0</v>
      </c>
      <c r="O754" t="n">
        <v>0</v>
      </c>
      <c r="P754" t="n">
        <v>0</v>
      </c>
      <c r="Q754" t="n">
        <v>0</v>
      </c>
      <c r="R754" s="2" t="inlineStr"/>
    </row>
    <row r="755" ht="15" customHeight="1">
      <c r="A755" t="inlineStr">
        <is>
          <t>A 14648-2022</t>
        </is>
      </c>
      <c r="B755" s="1" t="n">
        <v>44655</v>
      </c>
      <c r="C755" s="1" t="n">
        <v>45357</v>
      </c>
      <c r="D755" t="inlineStr">
        <is>
          <t>JÄMTLANDS LÄN</t>
        </is>
      </c>
      <c r="E755" t="inlineStr">
        <is>
          <t>HÄRJEDALEN</t>
        </is>
      </c>
      <c r="G755" t="n">
        <v>4.8</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45357</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45357</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45357</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45357</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45357</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45357</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45357</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45357</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45357</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45357</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45357</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45357</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45357</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45357</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45357</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45357</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45357</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45357</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45357</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45357</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45357</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45357</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45357</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45357</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45357</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45357</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45357</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45357</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45357</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45357</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45357</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45357</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45357</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45357</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45357</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45357</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45357</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45357</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45357</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45357</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45357</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45357</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45357</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45357</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45357</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45357</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31061-2022</t>
        </is>
      </c>
      <c r="B802" s="1" t="n">
        <v>44769</v>
      </c>
      <c r="C802" s="1" t="n">
        <v>45357</v>
      </c>
      <c r="D802" t="inlineStr">
        <is>
          <t>JÄMTLANDS LÄN</t>
        </is>
      </c>
      <c r="E802" t="inlineStr">
        <is>
          <t>HÄRJEDALEN</t>
        </is>
      </c>
      <c r="F802" t="inlineStr">
        <is>
          <t>Bergvik skog väst AB</t>
        </is>
      </c>
      <c r="G802" t="n">
        <v>15.8</v>
      </c>
      <c r="H802" t="n">
        <v>0</v>
      </c>
      <c r="I802" t="n">
        <v>0</v>
      </c>
      <c r="J802" t="n">
        <v>0</v>
      </c>
      <c r="K802" t="n">
        <v>0</v>
      </c>
      <c r="L802" t="n">
        <v>0</v>
      </c>
      <c r="M802" t="n">
        <v>0</v>
      </c>
      <c r="N802" t="n">
        <v>0</v>
      </c>
      <c r="O802" t="n">
        <v>0</v>
      </c>
      <c r="P802" t="n">
        <v>0</v>
      </c>
      <c r="Q802" t="n">
        <v>0</v>
      </c>
      <c r="R802" s="2" t="inlineStr"/>
    </row>
    <row r="803" ht="15" customHeight="1">
      <c r="A803" t="inlineStr">
        <is>
          <t>A 31167-2022</t>
        </is>
      </c>
      <c r="B803" s="1" t="n">
        <v>44770</v>
      </c>
      <c r="C803" s="1" t="n">
        <v>45357</v>
      </c>
      <c r="D803" t="inlineStr">
        <is>
          <t>JÄMTLANDS LÄN</t>
        </is>
      </c>
      <c r="E803" t="inlineStr">
        <is>
          <t>HÄRJEDALEN</t>
        </is>
      </c>
      <c r="G803" t="n">
        <v>1.9</v>
      </c>
      <c r="H803" t="n">
        <v>0</v>
      </c>
      <c r="I803" t="n">
        <v>0</v>
      </c>
      <c r="J803" t="n">
        <v>0</v>
      </c>
      <c r="K803" t="n">
        <v>0</v>
      </c>
      <c r="L803" t="n">
        <v>0</v>
      </c>
      <c r="M803" t="n">
        <v>0</v>
      </c>
      <c r="N803" t="n">
        <v>0</v>
      </c>
      <c r="O803" t="n">
        <v>0</v>
      </c>
      <c r="P803" t="n">
        <v>0</v>
      </c>
      <c r="Q803" t="n">
        <v>0</v>
      </c>
      <c r="R803" s="2" t="inlineStr"/>
    </row>
    <row r="804" ht="15" customHeight="1">
      <c r="A804" t="inlineStr">
        <is>
          <t>A 32910-2022</t>
        </is>
      </c>
      <c r="B804" s="1" t="n">
        <v>44784</v>
      </c>
      <c r="C804" s="1" t="n">
        <v>45357</v>
      </c>
      <c r="D804" t="inlineStr">
        <is>
          <t>JÄMTLANDS LÄN</t>
        </is>
      </c>
      <c r="E804" t="inlineStr">
        <is>
          <t>HÄRJEDALEN</t>
        </is>
      </c>
      <c r="F804" t="inlineStr">
        <is>
          <t>Bergvik skog väst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32974-2022</t>
        </is>
      </c>
      <c r="B805" s="1" t="n">
        <v>44784</v>
      </c>
      <c r="C805" s="1" t="n">
        <v>45357</v>
      </c>
      <c r="D805" t="inlineStr">
        <is>
          <t>JÄMTLANDS LÄN</t>
        </is>
      </c>
      <c r="E805" t="inlineStr">
        <is>
          <t>HÄRJEDALEN</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33465-2022</t>
        </is>
      </c>
      <c r="B806" s="1" t="n">
        <v>44788</v>
      </c>
      <c r="C806" s="1" t="n">
        <v>45357</v>
      </c>
      <c r="D806" t="inlineStr">
        <is>
          <t>JÄMTLANDS LÄN</t>
        </is>
      </c>
      <c r="E806" t="inlineStr">
        <is>
          <t>HÄRJEDALEN</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33900-2022</t>
        </is>
      </c>
      <c r="B807" s="1" t="n">
        <v>44790</v>
      </c>
      <c r="C807" s="1" t="n">
        <v>45357</v>
      </c>
      <c r="D807" t="inlineStr">
        <is>
          <t>JÄMTLANDS LÄN</t>
        </is>
      </c>
      <c r="E807" t="inlineStr">
        <is>
          <t>HÄRJEDALEN</t>
        </is>
      </c>
      <c r="F807" t="inlineStr">
        <is>
          <t>Bergvik skog väst AB</t>
        </is>
      </c>
      <c r="G807" t="n">
        <v>15.2</v>
      </c>
      <c r="H807" t="n">
        <v>0</v>
      </c>
      <c r="I807" t="n">
        <v>0</v>
      </c>
      <c r="J807" t="n">
        <v>0</v>
      </c>
      <c r="K807" t="n">
        <v>0</v>
      </c>
      <c r="L807" t="n">
        <v>0</v>
      </c>
      <c r="M807" t="n">
        <v>0</v>
      </c>
      <c r="N807" t="n">
        <v>0</v>
      </c>
      <c r="O807" t="n">
        <v>0</v>
      </c>
      <c r="P807" t="n">
        <v>0</v>
      </c>
      <c r="Q807" t="n">
        <v>0</v>
      </c>
      <c r="R807" s="2" t="inlineStr"/>
    </row>
    <row r="808" ht="15" customHeight="1">
      <c r="A808" t="inlineStr">
        <is>
          <t>A 33889-2022</t>
        </is>
      </c>
      <c r="B808" s="1" t="n">
        <v>44790</v>
      </c>
      <c r="C808" s="1" t="n">
        <v>45357</v>
      </c>
      <c r="D808" t="inlineStr">
        <is>
          <t>JÄMTLANDS LÄN</t>
        </is>
      </c>
      <c r="E808" t="inlineStr">
        <is>
          <t>HÄRJEDALEN</t>
        </is>
      </c>
      <c r="F808" t="inlineStr">
        <is>
          <t>Bergvik skog väst AB</t>
        </is>
      </c>
      <c r="G808" t="n">
        <v>6.6</v>
      </c>
      <c r="H808" t="n">
        <v>0</v>
      </c>
      <c r="I808" t="n">
        <v>0</v>
      </c>
      <c r="J808" t="n">
        <v>0</v>
      </c>
      <c r="K808" t="n">
        <v>0</v>
      </c>
      <c r="L808" t="n">
        <v>0</v>
      </c>
      <c r="M808" t="n">
        <v>0</v>
      </c>
      <c r="N808" t="n">
        <v>0</v>
      </c>
      <c r="O808" t="n">
        <v>0</v>
      </c>
      <c r="P808" t="n">
        <v>0</v>
      </c>
      <c r="Q808" t="n">
        <v>0</v>
      </c>
      <c r="R808" s="2" t="inlineStr"/>
    </row>
    <row r="809" ht="15" customHeight="1">
      <c r="A809" t="inlineStr">
        <is>
          <t>A 34112-2022</t>
        </is>
      </c>
      <c r="B809" s="1" t="n">
        <v>44791</v>
      </c>
      <c r="C809" s="1" t="n">
        <v>45357</v>
      </c>
      <c r="D809" t="inlineStr">
        <is>
          <t>JÄMTLANDS LÄN</t>
        </is>
      </c>
      <c r="E809" t="inlineStr">
        <is>
          <t>HÄRJEDALEN</t>
        </is>
      </c>
      <c r="F809" t="inlineStr">
        <is>
          <t>Holmen skog AB</t>
        </is>
      </c>
      <c r="G809" t="n">
        <v>0.6</v>
      </c>
      <c r="H809" t="n">
        <v>0</v>
      </c>
      <c r="I809" t="n">
        <v>0</v>
      </c>
      <c r="J809" t="n">
        <v>0</v>
      </c>
      <c r="K809" t="n">
        <v>0</v>
      </c>
      <c r="L809" t="n">
        <v>0</v>
      </c>
      <c r="M809" t="n">
        <v>0</v>
      </c>
      <c r="N809" t="n">
        <v>0</v>
      </c>
      <c r="O809" t="n">
        <v>0</v>
      </c>
      <c r="P809" t="n">
        <v>0</v>
      </c>
      <c r="Q809" t="n">
        <v>0</v>
      </c>
      <c r="R809" s="2" t="inlineStr"/>
    </row>
    <row r="810" ht="15" customHeight="1">
      <c r="A810" t="inlineStr">
        <is>
          <t>A 34359-2022</t>
        </is>
      </c>
      <c r="B810" s="1" t="n">
        <v>44792</v>
      </c>
      <c r="C810" s="1" t="n">
        <v>45357</v>
      </c>
      <c r="D810" t="inlineStr">
        <is>
          <t>JÄMTLANDS LÄN</t>
        </is>
      </c>
      <c r="E810" t="inlineStr">
        <is>
          <t>HÄRJEDALEN</t>
        </is>
      </c>
      <c r="F810" t="inlineStr">
        <is>
          <t>Bergvik skog väst AB</t>
        </is>
      </c>
      <c r="G810" t="n">
        <v>23.1</v>
      </c>
      <c r="H810" t="n">
        <v>0</v>
      </c>
      <c r="I810" t="n">
        <v>0</v>
      </c>
      <c r="J810" t="n">
        <v>0</v>
      </c>
      <c r="K810" t="n">
        <v>0</v>
      </c>
      <c r="L810" t="n">
        <v>0</v>
      </c>
      <c r="M810" t="n">
        <v>0</v>
      </c>
      <c r="N810" t="n">
        <v>0</v>
      </c>
      <c r="O810" t="n">
        <v>0</v>
      </c>
      <c r="P810" t="n">
        <v>0</v>
      </c>
      <c r="Q810" t="n">
        <v>0</v>
      </c>
      <c r="R810" s="2" t="inlineStr"/>
    </row>
    <row r="811" ht="15" customHeight="1">
      <c r="A811" t="inlineStr">
        <is>
          <t>A 34361-2022</t>
        </is>
      </c>
      <c r="B811" s="1" t="n">
        <v>44792</v>
      </c>
      <c r="C811" s="1" t="n">
        <v>45357</v>
      </c>
      <c r="D811" t="inlineStr">
        <is>
          <t>JÄMTLANDS LÄN</t>
        </is>
      </c>
      <c r="E811" t="inlineStr">
        <is>
          <t>HÄRJEDALEN</t>
        </is>
      </c>
      <c r="F811" t="inlineStr">
        <is>
          <t>Bergvik skog väst AB</t>
        </is>
      </c>
      <c r="G811" t="n">
        <v>2.9</v>
      </c>
      <c r="H811" t="n">
        <v>0</v>
      </c>
      <c r="I811" t="n">
        <v>0</v>
      </c>
      <c r="J811" t="n">
        <v>0</v>
      </c>
      <c r="K811" t="n">
        <v>0</v>
      </c>
      <c r="L811" t="n">
        <v>0</v>
      </c>
      <c r="M811" t="n">
        <v>0</v>
      </c>
      <c r="N811" t="n">
        <v>0</v>
      </c>
      <c r="O811" t="n">
        <v>0</v>
      </c>
      <c r="P811" t="n">
        <v>0</v>
      </c>
      <c r="Q811" t="n">
        <v>0</v>
      </c>
      <c r="R811" s="2" t="inlineStr"/>
    </row>
    <row r="812" ht="15" customHeight="1">
      <c r="A812" t="inlineStr">
        <is>
          <t>A 34392-2022</t>
        </is>
      </c>
      <c r="B812" s="1" t="n">
        <v>44792</v>
      </c>
      <c r="C812" s="1" t="n">
        <v>45357</v>
      </c>
      <c r="D812" t="inlineStr">
        <is>
          <t>JÄMTLANDS LÄN</t>
        </is>
      </c>
      <c r="E812" t="inlineStr">
        <is>
          <t>HÄRJEDALEN</t>
        </is>
      </c>
      <c r="G812" t="n">
        <v>23.5</v>
      </c>
      <c r="H812" t="n">
        <v>0</v>
      </c>
      <c r="I812" t="n">
        <v>0</v>
      </c>
      <c r="J812" t="n">
        <v>0</v>
      </c>
      <c r="K812" t="n">
        <v>0</v>
      </c>
      <c r="L812" t="n">
        <v>0</v>
      </c>
      <c r="M812" t="n">
        <v>0</v>
      </c>
      <c r="N812" t="n">
        <v>0</v>
      </c>
      <c r="O812" t="n">
        <v>0</v>
      </c>
      <c r="P812" t="n">
        <v>0</v>
      </c>
      <c r="Q812" t="n">
        <v>0</v>
      </c>
      <c r="R812" s="2" t="inlineStr"/>
    </row>
    <row r="813" ht="15" customHeight="1">
      <c r="A813" t="inlineStr">
        <is>
          <t>A 34492-2022</t>
        </is>
      </c>
      <c r="B813" s="1" t="n">
        <v>44792</v>
      </c>
      <c r="C813" s="1" t="n">
        <v>45357</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34627-2022</t>
        </is>
      </c>
      <c r="B814" s="1" t="n">
        <v>44795</v>
      </c>
      <c r="C814" s="1" t="n">
        <v>45357</v>
      </c>
      <c r="D814" t="inlineStr">
        <is>
          <t>JÄMTLANDS LÄN</t>
        </is>
      </c>
      <c r="E814" t="inlineStr">
        <is>
          <t>HÄRJEDALEN</t>
        </is>
      </c>
      <c r="G814" t="n">
        <v>2.4</v>
      </c>
      <c r="H814" t="n">
        <v>0</v>
      </c>
      <c r="I814" t="n">
        <v>0</v>
      </c>
      <c r="J814" t="n">
        <v>0</v>
      </c>
      <c r="K814" t="n">
        <v>0</v>
      </c>
      <c r="L814" t="n">
        <v>0</v>
      </c>
      <c r="M814" t="n">
        <v>0</v>
      </c>
      <c r="N814" t="n">
        <v>0</v>
      </c>
      <c r="O814" t="n">
        <v>0</v>
      </c>
      <c r="P814" t="n">
        <v>0</v>
      </c>
      <c r="Q814" t="n">
        <v>0</v>
      </c>
      <c r="R814" s="2" t="inlineStr"/>
    </row>
    <row r="815" ht="15" customHeight="1">
      <c r="A815" t="inlineStr">
        <is>
          <t>A 34621-2022</t>
        </is>
      </c>
      <c r="B815" s="1" t="n">
        <v>44795</v>
      </c>
      <c r="C815" s="1" t="n">
        <v>45357</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35614-2022</t>
        </is>
      </c>
      <c r="B816" s="1" t="n">
        <v>44799</v>
      </c>
      <c r="C816" s="1" t="n">
        <v>45357</v>
      </c>
      <c r="D816" t="inlineStr">
        <is>
          <t>JÄMTLANDS LÄN</t>
        </is>
      </c>
      <c r="E816" t="inlineStr">
        <is>
          <t>HÄRJEDALEN</t>
        </is>
      </c>
      <c r="F816" t="inlineStr">
        <is>
          <t>Bergvik skog väst AB</t>
        </is>
      </c>
      <c r="G816" t="n">
        <v>72.09999999999999</v>
      </c>
      <c r="H816" t="n">
        <v>0</v>
      </c>
      <c r="I816" t="n">
        <v>0</v>
      </c>
      <c r="J816" t="n">
        <v>0</v>
      </c>
      <c r="K816" t="n">
        <v>0</v>
      </c>
      <c r="L816" t="n">
        <v>0</v>
      </c>
      <c r="M816" t="n">
        <v>0</v>
      </c>
      <c r="N816" t="n">
        <v>0</v>
      </c>
      <c r="O816" t="n">
        <v>0</v>
      </c>
      <c r="P816" t="n">
        <v>0</v>
      </c>
      <c r="Q816" t="n">
        <v>0</v>
      </c>
      <c r="R816" s="2" t="inlineStr"/>
    </row>
    <row r="817" ht="15" customHeight="1">
      <c r="A817" t="inlineStr">
        <is>
          <t>A 36249-2022</t>
        </is>
      </c>
      <c r="B817" s="1" t="n">
        <v>44803</v>
      </c>
      <c r="C817" s="1" t="n">
        <v>45357</v>
      </c>
      <c r="D817" t="inlineStr">
        <is>
          <t>JÄMTLANDS LÄN</t>
        </is>
      </c>
      <c r="E817" t="inlineStr">
        <is>
          <t>HÄRJEDALEN</t>
        </is>
      </c>
      <c r="G817" t="n">
        <v>7.2</v>
      </c>
      <c r="H817" t="n">
        <v>0</v>
      </c>
      <c r="I817" t="n">
        <v>0</v>
      </c>
      <c r="J817" t="n">
        <v>0</v>
      </c>
      <c r="K817" t="n">
        <v>0</v>
      </c>
      <c r="L817" t="n">
        <v>0</v>
      </c>
      <c r="M817" t="n">
        <v>0</v>
      </c>
      <c r="N817" t="n">
        <v>0</v>
      </c>
      <c r="O817" t="n">
        <v>0</v>
      </c>
      <c r="P817" t="n">
        <v>0</v>
      </c>
      <c r="Q817" t="n">
        <v>0</v>
      </c>
      <c r="R817" s="2" t="inlineStr"/>
    </row>
    <row r="818" ht="15" customHeight="1">
      <c r="A818" t="inlineStr">
        <is>
          <t>A 36170-2022</t>
        </is>
      </c>
      <c r="B818" s="1" t="n">
        <v>44803</v>
      </c>
      <c r="C818" s="1" t="n">
        <v>45357</v>
      </c>
      <c r="D818" t="inlineStr">
        <is>
          <t>JÄMTLANDS LÄN</t>
        </is>
      </c>
      <c r="E818" t="inlineStr">
        <is>
          <t>HÄRJEDALEN</t>
        </is>
      </c>
      <c r="G818" t="n">
        <v>14.7</v>
      </c>
      <c r="H818" t="n">
        <v>0</v>
      </c>
      <c r="I818" t="n">
        <v>0</v>
      </c>
      <c r="J818" t="n">
        <v>0</v>
      </c>
      <c r="K818" t="n">
        <v>0</v>
      </c>
      <c r="L818" t="n">
        <v>0</v>
      </c>
      <c r="M818" t="n">
        <v>0</v>
      </c>
      <c r="N818" t="n">
        <v>0</v>
      </c>
      <c r="O818" t="n">
        <v>0</v>
      </c>
      <c r="P818" t="n">
        <v>0</v>
      </c>
      <c r="Q818" t="n">
        <v>0</v>
      </c>
      <c r="R818" s="2" t="inlineStr"/>
    </row>
    <row r="819" ht="15" customHeight="1">
      <c r="A819" t="inlineStr">
        <is>
          <t>A 36182-2022</t>
        </is>
      </c>
      <c r="B819" s="1" t="n">
        <v>44803</v>
      </c>
      <c r="C819" s="1" t="n">
        <v>45357</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36187-2022</t>
        </is>
      </c>
      <c r="B820" s="1" t="n">
        <v>44803</v>
      </c>
      <c r="C820" s="1" t="n">
        <v>45357</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36448-2022</t>
        </is>
      </c>
      <c r="B821" s="1" t="n">
        <v>44804</v>
      </c>
      <c r="C821" s="1" t="n">
        <v>45357</v>
      </c>
      <c r="D821" t="inlineStr">
        <is>
          <t>JÄMTLANDS LÄN</t>
        </is>
      </c>
      <c r="E821" t="inlineStr">
        <is>
          <t>HÄRJEDALEN</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37515-2022</t>
        </is>
      </c>
      <c r="B822" s="1" t="n">
        <v>44809</v>
      </c>
      <c r="C822" s="1" t="n">
        <v>45357</v>
      </c>
      <c r="D822" t="inlineStr">
        <is>
          <t>JÄMTLANDS LÄN</t>
        </is>
      </c>
      <c r="E822" t="inlineStr">
        <is>
          <t>HÄRJEDALEN</t>
        </is>
      </c>
      <c r="F822" t="inlineStr">
        <is>
          <t>Bergvik skog väst AB</t>
        </is>
      </c>
      <c r="G822" t="n">
        <v>3.2</v>
      </c>
      <c r="H822" t="n">
        <v>0</v>
      </c>
      <c r="I822" t="n">
        <v>0</v>
      </c>
      <c r="J822" t="n">
        <v>0</v>
      </c>
      <c r="K822" t="n">
        <v>0</v>
      </c>
      <c r="L822" t="n">
        <v>0</v>
      </c>
      <c r="M822" t="n">
        <v>0</v>
      </c>
      <c r="N822" t="n">
        <v>0</v>
      </c>
      <c r="O822" t="n">
        <v>0</v>
      </c>
      <c r="P822" t="n">
        <v>0</v>
      </c>
      <c r="Q822" t="n">
        <v>0</v>
      </c>
      <c r="R822" s="2" t="inlineStr"/>
    </row>
    <row r="823" ht="15" customHeight="1">
      <c r="A823" t="inlineStr">
        <is>
          <t>A 37666-2022</t>
        </is>
      </c>
      <c r="B823" s="1" t="n">
        <v>44810</v>
      </c>
      <c r="C823" s="1" t="n">
        <v>45357</v>
      </c>
      <c r="D823" t="inlineStr">
        <is>
          <t>JÄMTLANDS LÄN</t>
        </is>
      </c>
      <c r="E823" t="inlineStr">
        <is>
          <t>HÄRJEDALEN</t>
        </is>
      </c>
      <c r="F823" t="inlineStr">
        <is>
          <t>Holmen skog AB</t>
        </is>
      </c>
      <c r="G823" t="n">
        <v>7.2</v>
      </c>
      <c r="H823" t="n">
        <v>0</v>
      </c>
      <c r="I823" t="n">
        <v>0</v>
      </c>
      <c r="J823" t="n">
        <v>0</v>
      </c>
      <c r="K823" t="n">
        <v>0</v>
      </c>
      <c r="L823" t="n">
        <v>0</v>
      </c>
      <c r="M823" t="n">
        <v>0</v>
      </c>
      <c r="N823" t="n">
        <v>0</v>
      </c>
      <c r="O823" t="n">
        <v>0</v>
      </c>
      <c r="P823" t="n">
        <v>0</v>
      </c>
      <c r="Q823" t="n">
        <v>0</v>
      </c>
      <c r="R823" s="2" t="inlineStr"/>
    </row>
    <row r="824" ht="15" customHeight="1">
      <c r="A824" t="inlineStr">
        <is>
          <t>A 37690-2022</t>
        </is>
      </c>
      <c r="B824" s="1" t="n">
        <v>44810</v>
      </c>
      <c r="C824" s="1" t="n">
        <v>45357</v>
      </c>
      <c r="D824" t="inlineStr">
        <is>
          <t>JÄMTLANDS LÄN</t>
        </is>
      </c>
      <c r="E824" t="inlineStr">
        <is>
          <t>HÄRJEDALEN</t>
        </is>
      </c>
      <c r="F824" t="inlineStr">
        <is>
          <t>Holmen skog AB</t>
        </is>
      </c>
      <c r="G824" t="n">
        <v>7.8</v>
      </c>
      <c r="H824" t="n">
        <v>0</v>
      </c>
      <c r="I824" t="n">
        <v>0</v>
      </c>
      <c r="J824" t="n">
        <v>0</v>
      </c>
      <c r="K824" t="n">
        <v>0</v>
      </c>
      <c r="L824" t="n">
        <v>0</v>
      </c>
      <c r="M824" t="n">
        <v>0</v>
      </c>
      <c r="N824" t="n">
        <v>0</v>
      </c>
      <c r="O824" t="n">
        <v>0</v>
      </c>
      <c r="P824" t="n">
        <v>0</v>
      </c>
      <c r="Q824" t="n">
        <v>0</v>
      </c>
      <c r="R824" s="2" t="inlineStr"/>
    </row>
    <row r="825" ht="15" customHeight="1">
      <c r="A825" t="inlineStr">
        <is>
          <t>A 37678-2022</t>
        </is>
      </c>
      <c r="B825" s="1" t="n">
        <v>44810</v>
      </c>
      <c r="C825" s="1" t="n">
        <v>45357</v>
      </c>
      <c r="D825" t="inlineStr">
        <is>
          <t>JÄMTLANDS LÄN</t>
        </is>
      </c>
      <c r="E825" t="inlineStr">
        <is>
          <t>HÄRJEDALEN</t>
        </is>
      </c>
      <c r="F825" t="inlineStr">
        <is>
          <t>Bergvik skog väst AB</t>
        </is>
      </c>
      <c r="G825" t="n">
        <v>4.7</v>
      </c>
      <c r="H825" t="n">
        <v>0</v>
      </c>
      <c r="I825" t="n">
        <v>0</v>
      </c>
      <c r="J825" t="n">
        <v>0</v>
      </c>
      <c r="K825" t="n">
        <v>0</v>
      </c>
      <c r="L825" t="n">
        <v>0</v>
      </c>
      <c r="M825" t="n">
        <v>0</v>
      </c>
      <c r="N825" t="n">
        <v>0</v>
      </c>
      <c r="O825" t="n">
        <v>0</v>
      </c>
      <c r="P825" t="n">
        <v>0</v>
      </c>
      <c r="Q825" t="n">
        <v>0</v>
      </c>
      <c r="R825" s="2" t="inlineStr"/>
    </row>
    <row r="826" ht="15" customHeight="1">
      <c r="A826" t="inlineStr">
        <is>
          <t>A 37873-2022</t>
        </is>
      </c>
      <c r="B826" s="1" t="n">
        <v>44811</v>
      </c>
      <c r="C826" s="1" t="n">
        <v>45357</v>
      </c>
      <c r="D826" t="inlineStr">
        <is>
          <t>JÄMTLANDS LÄN</t>
        </is>
      </c>
      <c r="E826" t="inlineStr">
        <is>
          <t>HÄRJEDALEN</t>
        </is>
      </c>
      <c r="F826" t="inlineStr">
        <is>
          <t>Bergvik skog väst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37990-2022</t>
        </is>
      </c>
      <c r="B827" s="1" t="n">
        <v>44811</v>
      </c>
      <c r="C827" s="1" t="n">
        <v>45357</v>
      </c>
      <c r="D827" t="inlineStr">
        <is>
          <t>JÄMTLANDS LÄN</t>
        </is>
      </c>
      <c r="E827" t="inlineStr">
        <is>
          <t>HÄRJEDALEN</t>
        </is>
      </c>
      <c r="F827" t="inlineStr">
        <is>
          <t>Bergvik skog väst AB</t>
        </is>
      </c>
      <c r="G827" t="n">
        <v>1.6</v>
      </c>
      <c r="H827" t="n">
        <v>0</v>
      </c>
      <c r="I827" t="n">
        <v>0</v>
      </c>
      <c r="J827" t="n">
        <v>0</v>
      </c>
      <c r="K827" t="n">
        <v>0</v>
      </c>
      <c r="L827" t="n">
        <v>0</v>
      </c>
      <c r="M827" t="n">
        <v>0</v>
      </c>
      <c r="N827" t="n">
        <v>0</v>
      </c>
      <c r="O827" t="n">
        <v>0</v>
      </c>
      <c r="P827" t="n">
        <v>0</v>
      </c>
      <c r="Q827" t="n">
        <v>0</v>
      </c>
      <c r="R827" s="2" t="inlineStr"/>
    </row>
    <row r="828" ht="15" customHeight="1">
      <c r="A828" t="inlineStr">
        <is>
          <t>A 37988-2022</t>
        </is>
      </c>
      <c r="B828" s="1" t="n">
        <v>44811</v>
      </c>
      <c r="C828" s="1" t="n">
        <v>45357</v>
      </c>
      <c r="D828" t="inlineStr">
        <is>
          <t>JÄMTLANDS LÄN</t>
        </is>
      </c>
      <c r="E828" t="inlineStr">
        <is>
          <t>HÄRJEDALEN</t>
        </is>
      </c>
      <c r="F828" t="inlineStr">
        <is>
          <t>Bergvik skog väst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39396-2022</t>
        </is>
      </c>
      <c r="B829" s="1" t="n">
        <v>44818</v>
      </c>
      <c r="C829" s="1" t="n">
        <v>45357</v>
      </c>
      <c r="D829" t="inlineStr">
        <is>
          <t>JÄMTLANDS LÄN</t>
        </is>
      </c>
      <c r="E829" t="inlineStr">
        <is>
          <t>HÄRJEDALEN</t>
        </is>
      </c>
      <c r="F829" t="inlineStr">
        <is>
          <t>SCA</t>
        </is>
      </c>
      <c r="G829" t="n">
        <v>11.4</v>
      </c>
      <c r="H829" t="n">
        <v>0</v>
      </c>
      <c r="I829" t="n">
        <v>0</v>
      </c>
      <c r="J829" t="n">
        <v>0</v>
      </c>
      <c r="K829" t="n">
        <v>0</v>
      </c>
      <c r="L829" t="n">
        <v>0</v>
      </c>
      <c r="M829" t="n">
        <v>0</v>
      </c>
      <c r="N829" t="n">
        <v>0</v>
      </c>
      <c r="O829" t="n">
        <v>0</v>
      </c>
      <c r="P829" t="n">
        <v>0</v>
      </c>
      <c r="Q829" t="n">
        <v>0</v>
      </c>
      <c r="R829" s="2" t="inlineStr"/>
    </row>
    <row r="830" ht="15" customHeight="1">
      <c r="A830" t="inlineStr">
        <is>
          <t>A 39625-2022</t>
        </is>
      </c>
      <c r="B830" s="1" t="n">
        <v>44818</v>
      </c>
      <c r="C830" s="1" t="n">
        <v>45357</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39618-2022</t>
        </is>
      </c>
      <c r="B831" s="1" t="n">
        <v>44818</v>
      </c>
      <c r="C831" s="1" t="n">
        <v>45357</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39820-2022</t>
        </is>
      </c>
      <c r="B832" s="1" t="n">
        <v>44819</v>
      </c>
      <c r="C832" s="1" t="n">
        <v>45357</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40084-2022</t>
        </is>
      </c>
      <c r="B833" s="1" t="n">
        <v>44820</v>
      </c>
      <c r="C833" s="1" t="n">
        <v>45357</v>
      </c>
      <c r="D833" t="inlineStr">
        <is>
          <t>JÄMTLANDS LÄN</t>
        </is>
      </c>
      <c r="E833" t="inlineStr">
        <is>
          <t>HÄRJEDALEN</t>
        </is>
      </c>
      <c r="F833" t="inlineStr">
        <is>
          <t>Bergvik skog väst AB</t>
        </is>
      </c>
      <c r="G833" t="n">
        <v>6</v>
      </c>
      <c r="H833" t="n">
        <v>0</v>
      </c>
      <c r="I833" t="n">
        <v>0</v>
      </c>
      <c r="J833" t="n">
        <v>0</v>
      </c>
      <c r="K833" t="n">
        <v>0</v>
      </c>
      <c r="L833" t="n">
        <v>0</v>
      </c>
      <c r="M833" t="n">
        <v>0</v>
      </c>
      <c r="N833" t="n">
        <v>0</v>
      </c>
      <c r="O833" t="n">
        <v>0</v>
      </c>
      <c r="P833" t="n">
        <v>0</v>
      </c>
      <c r="Q833" t="n">
        <v>0</v>
      </c>
      <c r="R833" s="2" t="inlineStr"/>
    </row>
    <row r="834" ht="15" customHeight="1">
      <c r="A834" t="inlineStr">
        <is>
          <t>A 40201-2022</t>
        </is>
      </c>
      <c r="B834" s="1" t="n">
        <v>44820</v>
      </c>
      <c r="C834" s="1" t="n">
        <v>45357</v>
      </c>
      <c r="D834" t="inlineStr">
        <is>
          <t>JÄMTLANDS LÄN</t>
        </is>
      </c>
      <c r="E834" t="inlineStr">
        <is>
          <t>HÄRJEDALEN</t>
        </is>
      </c>
      <c r="F834" t="inlineStr">
        <is>
          <t>Kyrkan</t>
        </is>
      </c>
      <c r="G834" t="n">
        <v>14.6</v>
      </c>
      <c r="H834" t="n">
        <v>0</v>
      </c>
      <c r="I834" t="n">
        <v>0</v>
      </c>
      <c r="J834" t="n">
        <v>0</v>
      </c>
      <c r="K834" t="n">
        <v>0</v>
      </c>
      <c r="L834" t="n">
        <v>0</v>
      </c>
      <c r="M834" t="n">
        <v>0</v>
      </c>
      <c r="N834" t="n">
        <v>0</v>
      </c>
      <c r="O834" t="n">
        <v>0</v>
      </c>
      <c r="P834" t="n">
        <v>0</v>
      </c>
      <c r="Q834" t="n">
        <v>0</v>
      </c>
      <c r="R834" s="2" t="inlineStr"/>
    </row>
    <row r="835" ht="15" customHeight="1">
      <c r="A835" t="inlineStr">
        <is>
          <t>A 40596-2022</t>
        </is>
      </c>
      <c r="B835" s="1" t="n">
        <v>44823</v>
      </c>
      <c r="C835" s="1" t="n">
        <v>45357</v>
      </c>
      <c r="D835" t="inlineStr">
        <is>
          <t>JÄMTLANDS LÄN</t>
        </is>
      </c>
      <c r="E835" t="inlineStr">
        <is>
          <t>HÄRJEDALEN</t>
        </is>
      </c>
      <c r="G835" t="n">
        <v>2.9</v>
      </c>
      <c r="H835" t="n">
        <v>0</v>
      </c>
      <c r="I835" t="n">
        <v>0</v>
      </c>
      <c r="J835" t="n">
        <v>0</v>
      </c>
      <c r="K835" t="n">
        <v>0</v>
      </c>
      <c r="L835" t="n">
        <v>0</v>
      </c>
      <c r="M835" t="n">
        <v>0</v>
      </c>
      <c r="N835" t="n">
        <v>0</v>
      </c>
      <c r="O835" t="n">
        <v>0</v>
      </c>
      <c r="P835" t="n">
        <v>0</v>
      </c>
      <c r="Q835" t="n">
        <v>0</v>
      </c>
      <c r="R835" s="2" t="inlineStr"/>
    </row>
    <row r="836" ht="15" customHeight="1">
      <c r="A836" t="inlineStr">
        <is>
          <t>A 40561-2022</t>
        </is>
      </c>
      <c r="B836" s="1" t="n">
        <v>44823</v>
      </c>
      <c r="C836" s="1" t="n">
        <v>45357</v>
      </c>
      <c r="D836" t="inlineStr">
        <is>
          <t>JÄMTLANDS LÄN</t>
        </is>
      </c>
      <c r="E836" t="inlineStr">
        <is>
          <t>HÄRJEDALEN</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40578-2022</t>
        </is>
      </c>
      <c r="B837" s="1" t="n">
        <v>44823</v>
      </c>
      <c r="C837" s="1" t="n">
        <v>45357</v>
      </c>
      <c r="D837" t="inlineStr">
        <is>
          <t>JÄMTLANDS LÄN</t>
        </is>
      </c>
      <c r="E837" t="inlineStr">
        <is>
          <t>HÄRJEDALEN</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41080-2022</t>
        </is>
      </c>
      <c r="B838" s="1" t="n">
        <v>44825</v>
      </c>
      <c r="C838" s="1" t="n">
        <v>45357</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41164-2022</t>
        </is>
      </c>
      <c r="B839" s="1" t="n">
        <v>44825</v>
      </c>
      <c r="C839" s="1" t="n">
        <v>45357</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41209-2022</t>
        </is>
      </c>
      <c r="B840" s="1" t="n">
        <v>44825</v>
      </c>
      <c r="C840" s="1" t="n">
        <v>45357</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41293-2022</t>
        </is>
      </c>
      <c r="B841" s="1" t="n">
        <v>44826</v>
      </c>
      <c r="C841" s="1" t="n">
        <v>45357</v>
      </c>
      <c r="D841" t="inlineStr">
        <is>
          <t>JÄMTLANDS LÄN</t>
        </is>
      </c>
      <c r="E841" t="inlineStr">
        <is>
          <t>HÄRJEDALEN</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41759-2022</t>
        </is>
      </c>
      <c r="B842" s="1" t="n">
        <v>44827</v>
      </c>
      <c r="C842" s="1" t="n">
        <v>45357</v>
      </c>
      <c r="D842" t="inlineStr">
        <is>
          <t>JÄMTLANDS LÄN</t>
        </is>
      </c>
      <c r="E842" t="inlineStr">
        <is>
          <t>HÄRJEDALEN</t>
        </is>
      </c>
      <c r="G842" t="n">
        <v>20</v>
      </c>
      <c r="H842" t="n">
        <v>0</v>
      </c>
      <c r="I842" t="n">
        <v>0</v>
      </c>
      <c r="J842" t="n">
        <v>0</v>
      </c>
      <c r="K842" t="n">
        <v>0</v>
      </c>
      <c r="L842" t="n">
        <v>0</v>
      </c>
      <c r="M842" t="n">
        <v>0</v>
      </c>
      <c r="N842" t="n">
        <v>0</v>
      </c>
      <c r="O842" t="n">
        <v>0</v>
      </c>
      <c r="P842" t="n">
        <v>0</v>
      </c>
      <c r="Q842" t="n">
        <v>0</v>
      </c>
      <c r="R842" s="2" t="inlineStr"/>
    </row>
    <row r="843" ht="15" customHeight="1">
      <c r="A843" t="inlineStr">
        <is>
          <t>A 41711-2022</t>
        </is>
      </c>
      <c r="B843" s="1" t="n">
        <v>44827</v>
      </c>
      <c r="C843" s="1" t="n">
        <v>45357</v>
      </c>
      <c r="D843" t="inlineStr">
        <is>
          <t>JÄMTLANDS LÄN</t>
        </is>
      </c>
      <c r="E843" t="inlineStr">
        <is>
          <t>HÄRJEDALEN</t>
        </is>
      </c>
      <c r="G843" t="n">
        <v>18.3</v>
      </c>
      <c r="H843" t="n">
        <v>0</v>
      </c>
      <c r="I843" t="n">
        <v>0</v>
      </c>
      <c r="J843" t="n">
        <v>0</v>
      </c>
      <c r="K843" t="n">
        <v>0</v>
      </c>
      <c r="L843" t="n">
        <v>0</v>
      </c>
      <c r="M843" t="n">
        <v>0</v>
      </c>
      <c r="N843" t="n">
        <v>0</v>
      </c>
      <c r="O843" t="n">
        <v>0</v>
      </c>
      <c r="P843" t="n">
        <v>0</v>
      </c>
      <c r="Q843" t="n">
        <v>0</v>
      </c>
      <c r="R843" s="2" t="inlineStr"/>
    </row>
    <row r="844" ht="15" customHeight="1">
      <c r="A844" t="inlineStr">
        <is>
          <t>A 41771-2022</t>
        </is>
      </c>
      <c r="B844" s="1" t="n">
        <v>44827</v>
      </c>
      <c r="C844" s="1" t="n">
        <v>45357</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41766-2022</t>
        </is>
      </c>
      <c r="B845" s="1" t="n">
        <v>44827</v>
      </c>
      <c r="C845" s="1" t="n">
        <v>45357</v>
      </c>
      <c r="D845" t="inlineStr">
        <is>
          <t>JÄMTLANDS LÄN</t>
        </is>
      </c>
      <c r="E845" t="inlineStr">
        <is>
          <t>HÄRJEDALEN</t>
        </is>
      </c>
      <c r="G845" t="n">
        <v>12.5</v>
      </c>
      <c r="H845" t="n">
        <v>0</v>
      </c>
      <c r="I845" t="n">
        <v>0</v>
      </c>
      <c r="J845" t="n">
        <v>0</v>
      </c>
      <c r="K845" t="n">
        <v>0</v>
      </c>
      <c r="L845" t="n">
        <v>0</v>
      </c>
      <c r="M845" t="n">
        <v>0</v>
      </c>
      <c r="N845" t="n">
        <v>0</v>
      </c>
      <c r="O845" t="n">
        <v>0</v>
      </c>
      <c r="P845" t="n">
        <v>0</v>
      </c>
      <c r="Q845" t="n">
        <v>0</v>
      </c>
      <c r="R845" s="2" t="inlineStr"/>
    </row>
    <row r="846" ht="15" customHeight="1">
      <c r="A846" t="inlineStr">
        <is>
          <t>A 42576-2022</t>
        </is>
      </c>
      <c r="B846" s="1" t="n">
        <v>44831</v>
      </c>
      <c r="C846" s="1" t="n">
        <v>45357</v>
      </c>
      <c r="D846" t="inlineStr">
        <is>
          <t>JÄMTLANDS LÄN</t>
        </is>
      </c>
      <c r="E846" t="inlineStr">
        <is>
          <t>HÄRJEDALEN</t>
        </is>
      </c>
      <c r="F846" t="inlineStr">
        <is>
          <t>Sveaskog</t>
        </is>
      </c>
      <c r="G846" t="n">
        <v>24.4</v>
      </c>
      <c r="H846" t="n">
        <v>0</v>
      </c>
      <c r="I846" t="n">
        <v>0</v>
      </c>
      <c r="J846" t="n">
        <v>0</v>
      </c>
      <c r="K846" t="n">
        <v>0</v>
      </c>
      <c r="L846" t="n">
        <v>0</v>
      </c>
      <c r="M846" t="n">
        <v>0</v>
      </c>
      <c r="N846" t="n">
        <v>0</v>
      </c>
      <c r="O846" t="n">
        <v>0</v>
      </c>
      <c r="P846" t="n">
        <v>0</v>
      </c>
      <c r="Q846" t="n">
        <v>0</v>
      </c>
      <c r="R846" s="2" t="inlineStr"/>
    </row>
    <row r="847" ht="15" customHeight="1">
      <c r="A847" t="inlineStr">
        <is>
          <t>A 42673-2022</t>
        </is>
      </c>
      <c r="B847" s="1" t="n">
        <v>44832</v>
      </c>
      <c r="C847" s="1" t="n">
        <v>45357</v>
      </c>
      <c r="D847" t="inlineStr">
        <is>
          <t>JÄMTLANDS LÄN</t>
        </is>
      </c>
      <c r="E847" t="inlineStr">
        <is>
          <t>HÄRJEDALEN</t>
        </is>
      </c>
      <c r="F847" t="inlineStr">
        <is>
          <t>Bergvik skog väst AB</t>
        </is>
      </c>
      <c r="G847" t="n">
        <v>18.6</v>
      </c>
      <c r="H847" t="n">
        <v>0</v>
      </c>
      <c r="I847" t="n">
        <v>0</v>
      </c>
      <c r="J847" t="n">
        <v>0</v>
      </c>
      <c r="K847" t="n">
        <v>0</v>
      </c>
      <c r="L847" t="n">
        <v>0</v>
      </c>
      <c r="M847" t="n">
        <v>0</v>
      </c>
      <c r="N847" t="n">
        <v>0</v>
      </c>
      <c r="O847" t="n">
        <v>0</v>
      </c>
      <c r="P847" t="n">
        <v>0</v>
      </c>
      <c r="Q847" t="n">
        <v>0</v>
      </c>
      <c r="R847" s="2" t="inlineStr"/>
    </row>
    <row r="848" ht="15" customHeight="1">
      <c r="A848" t="inlineStr">
        <is>
          <t>A 42916-2022</t>
        </is>
      </c>
      <c r="B848" s="1" t="n">
        <v>44833</v>
      </c>
      <c r="C848" s="1" t="n">
        <v>45357</v>
      </c>
      <c r="D848" t="inlineStr">
        <is>
          <t>JÄMTLANDS LÄN</t>
        </is>
      </c>
      <c r="E848" t="inlineStr">
        <is>
          <t>HÄRJEDALEN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43293-2022</t>
        </is>
      </c>
      <c r="B849" s="1" t="n">
        <v>44834</v>
      </c>
      <c r="C849" s="1" t="n">
        <v>45357</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43531-2022</t>
        </is>
      </c>
      <c r="B850" s="1" t="n">
        <v>44837</v>
      </c>
      <c r="C850" s="1" t="n">
        <v>45357</v>
      </c>
      <c r="D850" t="inlineStr">
        <is>
          <t>JÄMTLANDS LÄN</t>
        </is>
      </c>
      <c r="E850" t="inlineStr">
        <is>
          <t>HÄRJEDALEN</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43552-2022</t>
        </is>
      </c>
      <c r="B851" s="1" t="n">
        <v>44837</v>
      </c>
      <c r="C851" s="1" t="n">
        <v>45357</v>
      </c>
      <c r="D851" t="inlineStr">
        <is>
          <t>JÄMTLANDS LÄN</t>
        </is>
      </c>
      <c r="E851" t="inlineStr">
        <is>
          <t>HÄRJEDALEN</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43825-2022</t>
        </is>
      </c>
      <c r="B852" s="1" t="n">
        <v>44838</v>
      </c>
      <c r="C852" s="1" t="n">
        <v>45357</v>
      </c>
      <c r="D852" t="inlineStr">
        <is>
          <t>JÄMTLANDS LÄN</t>
        </is>
      </c>
      <c r="E852" t="inlineStr">
        <is>
          <t>HÄRJEDALEN</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45017-2022</t>
        </is>
      </c>
      <c r="B853" s="1" t="n">
        <v>44841</v>
      </c>
      <c r="C853" s="1" t="n">
        <v>45357</v>
      </c>
      <c r="D853" t="inlineStr">
        <is>
          <t>JÄMTLANDS LÄN</t>
        </is>
      </c>
      <c r="E853" t="inlineStr">
        <is>
          <t>HÄRJEDALEN</t>
        </is>
      </c>
      <c r="F853" t="inlineStr">
        <is>
          <t>Bergvik skog väst AB</t>
        </is>
      </c>
      <c r="G853" t="n">
        <v>5.4</v>
      </c>
      <c r="H853" t="n">
        <v>0</v>
      </c>
      <c r="I853" t="n">
        <v>0</v>
      </c>
      <c r="J853" t="n">
        <v>0</v>
      </c>
      <c r="K853" t="n">
        <v>0</v>
      </c>
      <c r="L853" t="n">
        <v>0</v>
      </c>
      <c r="M853" t="n">
        <v>0</v>
      </c>
      <c r="N853" t="n">
        <v>0</v>
      </c>
      <c r="O853" t="n">
        <v>0</v>
      </c>
      <c r="P853" t="n">
        <v>0</v>
      </c>
      <c r="Q853" t="n">
        <v>0</v>
      </c>
      <c r="R853" s="2" t="inlineStr"/>
    </row>
    <row r="854" ht="15" customHeight="1">
      <c r="A854" t="inlineStr">
        <is>
          <t>A 47351-2022</t>
        </is>
      </c>
      <c r="B854" s="1" t="n">
        <v>44853</v>
      </c>
      <c r="C854" s="1" t="n">
        <v>45357</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47450-2022</t>
        </is>
      </c>
      <c r="B855" s="1" t="n">
        <v>44853</v>
      </c>
      <c r="C855" s="1" t="n">
        <v>45357</v>
      </c>
      <c r="D855" t="inlineStr">
        <is>
          <t>JÄMTLANDS LÄN</t>
        </is>
      </c>
      <c r="E855" t="inlineStr">
        <is>
          <t>HÄRJEDALEN</t>
        </is>
      </c>
      <c r="G855" t="n">
        <v>1.5</v>
      </c>
      <c r="H855" t="n">
        <v>0</v>
      </c>
      <c r="I855" t="n">
        <v>0</v>
      </c>
      <c r="J855" t="n">
        <v>0</v>
      </c>
      <c r="K855" t="n">
        <v>0</v>
      </c>
      <c r="L855" t="n">
        <v>0</v>
      </c>
      <c r="M855" t="n">
        <v>0</v>
      </c>
      <c r="N855" t="n">
        <v>0</v>
      </c>
      <c r="O855" t="n">
        <v>0</v>
      </c>
      <c r="P855" t="n">
        <v>0</v>
      </c>
      <c r="Q855" t="n">
        <v>0</v>
      </c>
      <c r="R855" s="2" t="inlineStr"/>
    </row>
    <row r="856" ht="15" customHeight="1">
      <c r="A856" t="inlineStr">
        <is>
          <t>A 47635-2022</t>
        </is>
      </c>
      <c r="B856" s="1" t="n">
        <v>44854</v>
      </c>
      <c r="C856" s="1" t="n">
        <v>45357</v>
      </c>
      <c r="D856" t="inlineStr">
        <is>
          <t>JÄMTLANDS LÄN</t>
        </is>
      </c>
      <c r="E856" t="inlineStr">
        <is>
          <t>HÄRJEDALEN</t>
        </is>
      </c>
      <c r="G856" t="n">
        <v>2.2</v>
      </c>
      <c r="H856" t="n">
        <v>0</v>
      </c>
      <c r="I856" t="n">
        <v>0</v>
      </c>
      <c r="J856" t="n">
        <v>0</v>
      </c>
      <c r="K856" t="n">
        <v>0</v>
      </c>
      <c r="L856" t="n">
        <v>0</v>
      </c>
      <c r="M856" t="n">
        <v>0</v>
      </c>
      <c r="N856" t="n">
        <v>0</v>
      </c>
      <c r="O856" t="n">
        <v>0</v>
      </c>
      <c r="P856" t="n">
        <v>0</v>
      </c>
      <c r="Q856" t="n">
        <v>0</v>
      </c>
      <c r="R856" s="2" t="inlineStr"/>
    </row>
    <row r="857" ht="15" customHeight="1">
      <c r="A857" t="inlineStr">
        <is>
          <t>A 47738-2022</t>
        </is>
      </c>
      <c r="B857" s="1" t="n">
        <v>44854</v>
      </c>
      <c r="C857" s="1" t="n">
        <v>45357</v>
      </c>
      <c r="D857" t="inlineStr">
        <is>
          <t>JÄMTLANDS LÄN</t>
        </is>
      </c>
      <c r="E857" t="inlineStr">
        <is>
          <t>HÄRJEDALEN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47975-2022</t>
        </is>
      </c>
      <c r="B858" s="1" t="n">
        <v>44855</v>
      </c>
      <c r="C858" s="1" t="n">
        <v>45357</v>
      </c>
      <c r="D858" t="inlineStr">
        <is>
          <t>JÄMTLANDS LÄN</t>
        </is>
      </c>
      <c r="E858" t="inlineStr">
        <is>
          <t>HÄRJEDALEN</t>
        </is>
      </c>
      <c r="G858" t="n">
        <v>3</v>
      </c>
      <c r="H858" t="n">
        <v>0</v>
      </c>
      <c r="I858" t="n">
        <v>0</v>
      </c>
      <c r="J858" t="n">
        <v>0</v>
      </c>
      <c r="K858" t="n">
        <v>0</v>
      </c>
      <c r="L858" t="n">
        <v>0</v>
      </c>
      <c r="M858" t="n">
        <v>0</v>
      </c>
      <c r="N858" t="n">
        <v>0</v>
      </c>
      <c r="O858" t="n">
        <v>0</v>
      </c>
      <c r="P858" t="n">
        <v>0</v>
      </c>
      <c r="Q858" t="n">
        <v>0</v>
      </c>
      <c r="R858" s="2" t="inlineStr"/>
    </row>
    <row r="859" ht="15" customHeight="1">
      <c r="A859" t="inlineStr">
        <is>
          <t>A 48438-2022</t>
        </is>
      </c>
      <c r="B859" s="1" t="n">
        <v>44858</v>
      </c>
      <c r="C859" s="1" t="n">
        <v>45357</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48583-2022</t>
        </is>
      </c>
      <c r="B860" s="1" t="n">
        <v>44859</v>
      </c>
      <c r="C860" s="1" t="n">
        <v>45357</v>
      </c>
      <c r="D860" t="inlineStr">
        <is>
          <t>JÄMTLANDS LÄN</t>
        </is>
      </c>
      <c r="E860" t="inlineStr">
        <is>
          <t>HÄRJEDALEN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49237-2022</t>
        </is>
      </c>
      <c r="B861" s="1" t="n">
        <v>44861</v>
      </c>
      <c r="C861" s="1" t="n">
        <v>45357</v>
      </c>
      <c r="D861" t="inlineStr">
        <is>
          <t>JÄMTLANDS LÄN</t>
        </is>
      </c>
      <c r="E861" t="inlineStr">
        <is>
          <t>HÄRJEDALEN</t>
        </is>
      </c>
      <c r="G861" t="n">
        <v>5.8</v>
      </c>
      <c r="H861" t="n">
        <v>0</v>
      </c>
      <c r="I861" t="n">
        <v>0</v>
      </c>
      <c r="J861" t="n">
        <v>0</v>
      </c>
      <c r="K861" t="n">
        <v>0</v>
      </c>
      <c r="L861" t="n">
        <v>0</v>
      </c>
      <c r="M861" t="n">
        <v>0</v>
      </c>
      <c r="N861" t="n">
        <v>0</v>
      </c>
      <c r="O861" t="n">
        <v>0</v>
      </c>
      <c r="P861" t="n">
        <v>0</v>
      </c>
      <c r="Q861" t="n">
        <v>0</v>
      </c>
      <c r="R861" s="2" t="inlineStr"/>
    </row>
    <row r="862" ht="15" customHeight="1">
      <c r="A862" t="inlineStr">
        <is>
          <t>A 49295-2022</t>
        </is>
      </c>
      <c r="B862" s="1" t="n">
        <v>44861</v>
      </c>
      <c r="C862" s="1" t="n">
        <v>45357</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49663-2022</t>
        </is>
      </c>
      <c r="B863" s="1" t="n">
        <v>44862</v>
      </c>
      <c r="C863" s="1" t="n">
        <v>45357</v>
      </c>
      <c r="D863" t="inlineStr">
        <is>
          <t>JÄMTLANDS LÄN</t>
        </is>
      </c>
      <c r="E863" t="inlineStr">
        <is>
          <t>HÄRJEDALEN</t>
        </is>
      </c>
      <c r="F863" t="inlineStr">
        <is>
          <t>Bergvik skog väst AB</t>
        </is>
      </c>
      <c r="G863" t="n">
        <v>17.5</v>
      </c>
      <c r="H863" t="n">
        <v>0</v>
      </c>
      <c r="I863" t="n">
        <v>0</v>
      </c>
      <c r="J863" t="n">
        <v>0</v>
      </c>
      <c r="K863" t="n">
        <v>0</v>
      </c>
      <c r="L863" t="n">
        <v>0</v>
      </c>
      <c r="M863" t="n">
        <v>0</v>
      </c>
      <c r="N863" t="n">
        <v>0</v>
      </c>
      <c r="O863" t="n">
        <v>0</v>
      </c>
      <c r="P863" t="n">
        <v>0</v>
      </c>
      <c r="Q863" t="n">
        <v>0</v>
      </c>
      <c r="R863" s="2" t="inlineStr"/>
    </row>
    <row r="864" ht="15" customHeight="1">
      <c r="A864" t="inlineStr">
        <is>
          <t>A 49689-2022</t>
        </is>
      </c>
      <c r="B864" s="1" t="n">
        <v>44862</v>
      </c>
      <c r="C864" s="1" t="n">
        <v>45357</v>
      </c>
      <c r="D864" t="inlineStr">
        <is>
          <t>JÄMTLANDS LÄN</t>
        </is>
      </c>
      <c r="E864" t="inlineStr">
        <is>
          <t>HÄRJEDALEN</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50145-2022</t>
        </is>
      </c>
      <c r="B865" s="1" t="n">
        <v>44865</v>
      </c>
      <c r="C865" s="1" t="n">
        <v>45357</v>
      </c>
      <c r="D865" t="inlineStr">
        <is>
          <t>JÄMTLANDS LÄN</t>
        </is>
      </c>
      <c r="E865" t="inlineStr">
        <is>
          <t>HÄRJEDALEN</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49995-2022</t>
        </is>
      </c>
      <c r="B866" s="1" t="n">
        <v>44865</v>
      </c>
      <c r="C866" s="1" t="n">
        <v>45357</v>
      </c>
      <c r="D866" t="inlineStr">
        <is>
          <t>JÄMTLANDS LÄN</t>
        </is>
      </c>
      <c r="E866" t="inlineStr">
        <is>
          <t>HÄRJEDALEN</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51948-2022</t>
        </is>
      </c>
      <c r="B867" s="1" t="n">
        <v>44872</v>
      </c>
      <c r="C867" s="1" t="n">
        <v>45357</v>
      </c>
      <c r="D867" t="inlineStr">
        <is>
          <t>JÄMTLANDS LÄN</t>
        </is>
      </c>
      <c r="E867" t="inlineStr">
        <is>
          <t>HÄRJEDALEN</t>
        </is>
      </c>
      <c r="F867" t="inlineStr">
        <is>
          <t>Bergvik skog väst AB</t>
        </is>
      </c>
      <c r="G867" t="n">
        <v>3.8</v>
      </c>
      <c r="H867" t="n">
        <v>0</v>
      </c>
      <c r="I867" t="n">
        <v>0</v>
      </c>
      <c r="J867" t="n">
        <v>0</v>
      </c>
      <c r="K867" t="n">
        <v>0</v>
      </c>
      <c r="L867" t="n">
        <v>0</v>
      </c>
      <c r="M867" t="n">
        <v>0</v>
      </c>
      <c r="N867" t="n">
        <v>0</v>
      </c>
      <c r="O867" t="n">
        <v>0</v>
      </c>
      <c r="P867" t="n">
        <v>0</v>
      </c>
      <c r="Q867" t="n">
        <v>0</v>
      </c>
      <c r="R867" s="2" t="inlineStr"/>
    </row>
    <row r="868" ht="15" customHeight="1">
      <c r="A868" t="inlineStr">
        <is>
          <t>A 52852-2022</t>
        </is>
      </c>
      <c r="B868" s="1" t="n">
        <v>44872</v>
      </c>
      <c r="C868" s="1" t="n">
        <v>45357</v>
      </c>
      <c r="D868" t="inlineStr">
        <is>
          <t>JÄMTLANDS LÄN</t>
        </is>
      </c>
      <c r="E868" t="inlineStr">
        <is>
          <t>HÄRJEDALEN</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52867-2022</t>
        </is>
      </c>
      <c r="B869" s="1" t="n">
        <v>44872</v>
      </c>
      <c r="C869" s="1" t="n">
        <v>45357</v>
      </c>
      <c r="D869" t="inlineStr">
        <is>
          <t>JÄMTLANDS LÄN</t>
        </is>
      </c>
      <c r="E869" t="inlineStr">
        <is>
          <t>HÄRJEDALEN</t>
        </is>
      </c>
      <c r="G869" t="n">
        <v>0.3</v>
      </c>
      <c r="H869" t="n">
        <v>0</v>
      </c>
      <c r="I869" t="n">
        <v>0</v>
      </c>
      <c r="J869" t="n">
        <v>0</v>
      </c>
      <c r="K869" t="n">
        <v>0</v>
      </c>
      <c r="L869" t="n">
        <v>0</v>
      </c>
      <c r="M869" t="n">
        <v>0</v>
      </c>
      <c r="N869" t="n">
        <v>0</v>
      </c>
      <c r="O869" t="n">
        <v>0</v>
      </c>
      <c r="P869" t="n">
        <v>0</v>
      </c>
      <c r="Q869" t="n">
        <v>0</v>
      </c>
      <c r="R869" s="2" t="inlineStr"/>
    </row>
    <row r="870" ht="15" customHeight="1">
      <c r="A870" t="inlineStr">
        <is>
          <t>A 52339-2022</t>
        </is>
      </c>
      <c r="B870" s="1" t="n">
        <v>44873</v>
      </c>
      <c r="C870" s="1" t="n">
        <v>45357</v>
      </c>
      <c r="D870" t="inlineStr">
        <is>
          <t>JÄMTLANDS LÄN</t>
        </is>
      </c>
      <c r="E870" t="inlineStr">
        <is>
          <t>HÄRJEDALEN</t>
        </is>
      </c>
      <c r="G870" t="n">
        <v>28.1</v>
      </c>
      <c r="H870" t="n">
        <v>0</v>
      </c>
      <c r="I870" t="n">
        <v>0</v>
      </c>
      <c r="J870" t="n">
        <v>0</v>
      </c>
      <c r="K870" t="n">
        <v>0</v>
      </c>
      <c r="L870" t="n">
        <v>0</v>
      </c>
      <c r="M870" t="n">
        <v>0</v>
      </c>
      <c r="N870" t="n">
        <v>0</v>
      </c>
      <c r="O870" t="n">
        <v>0</v>
      </c>
      <c r="P870" t="n">
        <v>0</v>
      </c>
      <c r="Q870" t="n">
        <v>0</v>
      </c>
      <c r="R870" s="2" t="inlineStr"/>
    </row>
    <row r="871" ht="15" customHeight="1">
      <c r="A871" t="inlineStr">
        <is>
          <t>A 52586-2022</t>
        </is>
      </c>
      <c r="B871" s="1" t="n">
        <v>44874</v>
      </c>
      <c r="C871" s="1" t="n">
        <v>45357</v>
      </c>
      <c r="D871" t="inlineStr">
        <is>
          <t>JÄMTLANDS LÄN</t>
        </is>
      </c>
      <c r="E871" t="inlineStr">
        <is>
          <t>HÄRJEDALEN</t>
        </is>
      </c>
      <c r="F871" t="inlineStr">
        <is>
          <t>Bergvik skog väst AB</t>
        </is>
      </c>
      <c r="G871" t="n">
        <v>6.1</v>
      </c>
      <c r="H871" t="n">
        <v>0</v>
      </c>
      <c r="I871" t="n">
        <v>0</v>
      </c>
      <c r="J871" t="n">
        <v>0</v>
      </c>
      <c r="K871" t="n">
        <v>0</v>
      </c>
      <c r="L871" t="n">
        <v>0</v>
      </c>
      <c r="M871" t="n">
        <v>0</v>
      </c>
      <c r="N871" t="n">
        <v>0</v>
      </c>
      <c r="O871" t="n">
        <v>0</v>
      </c>
      <c r="P871" t="n">
        <v>0</v>
      </c>
      <c r="Q871" t="n">
        <v>0</v>
      </c>
      <c r="R871" s="2" t="inlineStr"/>
    </row>
    <row r="872" ht="15" customHeight="1">
      <c r="A872" t="inlineStr">
        <is>
          <t>A 53104-2022</t>
        </is>
      </c>
      <c r="B872" s="1" t="n">
        <v>44876</v>
      </c>
      <c r="C872" s="1" t="n">
        <v>45357</v>
      </c>
      <c r="D872" t="inlineStr">
        <is>
          <t>JÄMTLANDS LÄN</t>
        </is>
      </c>
      <c r="E872" t="inlineStr">
        <is>
          <t>HÄRJEDALEN</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53107-2022</t>
        </is>
      </c>
      <c r="B873" s="1" t="n">
        <v>44876</v>
      </c>
      <c r="C873" s="1" t="n">
        <v>45357</v>
      </c>
      <c r="D873" t="inlineStr">
        <is>
          <t>JÄMTLANDS LÄN</t>
        </is>
      </c>
      <c r="E873" t="inlineStr">
        <is>
          <t>HÄRJEDALEN</t>
        </is>
      </c>
      <c r="F873" t="inlineStr">
        <is>
          <t>Bergvik skog väst AB</t>
        </is>
      </c>
      <c r="G873" t="n">
        <v>9.1</v>
      </c>
      <c r="H873" t="n">
        <v>0</v>
      </c>
      <c r="I873" t="n">
        <v>0</v>
      </c>
      <c r="J873" t="n">
        <v>0</v>
      </c>
      <c r="K873" t="n">
        <v>0</v>
      </c>
      <c r="L873" t="n">
        <v>0</v>
      </c>
      <c r="M873" t="n">
        <v>0</v>
      </c>
      <c r="N873" t="n">
        <v>0</v>
      </c>
      <c r="O873" t="n">
        <v>0</v>
      </c>
      <c r="P873" t="n">
        <v>0</v>
      </c>
      <c r="Q873" t="n">
        <v>0</v>
      </c>
      <c r="R873" s="2" t="inlineStr"/>
    </row>
    <row r="874" ht="15" customHeight="1">
      <c r="A874" t="inlineStr">
        <is>
          <t>A 53120-2022</t>
        </is>
      </c>
      <c r="B874" s="1" t="n">
        <v>44876</v>
      </c>
      <c r="C874" s="1" t="n">
        <v>45357</v>
      </c>
      <c r="D874" t="inlineStr">
        <is>
          <t>JÄMTLANDS LÄN</t>
        </is>
      </c>
      <c r="E874" t="inlineStr">
        <is>
          <t>HÄRJEDALEN</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53563-2022</t>
        </is>
      </c>
      <c r="B875" s="1" t="n">
        <v>44879</v>
      </c>
      <c r="C875" s="1" t="n">
        <v>45357</v>
      </c>
      <c r="D875" t="inlineStr">
        <is>
          <t>JÄMTLANDS LÄN</t>
        </is>
      </c>
      <c r="E875" t="inlineStr">
        <is>
          <t>HÄRJEDALEN</t>
        </is>
      </c>
      <c r="G875" t="n">
        <v>8.6</v>
      </c>
      <c r="H875" t="n">
        <v>0</v>
      </c>
      <c r="I875" t="n">
        <v>0</v>
      </c>
      <c r="J875" t="n">
        <v>0</v>
      </c>
      <c r="K875" t="n">
        <v>0</v>
      </c>
      <c r="L875" t="n">
        <v>0</v>
      </c>
      <c r="M875" t="n">
        <v>0</v>
      </c>
      <c r="N875" t="n">
        <v>0</v>
      </c>
      <c r="O875" t="n">
        <v>0</v>
      </c>
      <c r="P875" t="n">
        <v>0</v>
      </c>
      <c r="Q875" t="n">
        <v>0</v>
      </c>
      <c r="R875" s="2" t="inlineStr"/>
    </row>
    <row r="876" ht="15" customHeight="1">
      <c r="A876" t="inlineStr">
        <is>
          <t>A 54059-2022</t>
        </is>
      </c>
      <c r="B876" s="1" t="n">
        <v>44881</v>
      </c>
      <c r="C876" s="1" t="n">
        <v>45357</v>
      </c>
      <c r="D876" t="inlineStr">
        <is>
          <t>JÄMTLANDS LÄN</t>
        </is>
      </c>
      <c r="E876" t="inlineStr">
        <is>
          <t>HÄRJEDALEN</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54065-2022</t>
        </is>
      </c>
      <c r="B877" s="1" t="n">
        <v>44881</v>
      </c>
      <c r="C877" s="1" t="n">
        <v>45357</v>
      </c>
      <c r="D877" t="inlineStr">
        <is>
          <t>JÄMTLANDS LÄN</t>
        </is>
      </c>
      <c r="E877" t="inlineStr">
        <is>
          <t>HÄRJEDALEN</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54305-2022</t>
        </is>
      </c>
      <c r="B878" s="1" t="n">
        <v>44882</v>
      </c>
      <c r="C878" s="1" t="n">
        <v>45357</v>
      </c>
      <c r="D878" t="inlineStr">
        <is>
          <t>JÄMTLANDS LÄN</t>
        </is>
      </c>
      <c r="E878" t="inlineStr">
        <is>
          <t>HÄRJEDALEN</t>
        </is>
      </c>
      <c r="G878" t="n">
        <v>2.3</v>
      </c>
      <c r="H878" t="n">
        <v>0</v>
      </c>
      <c r="I878" t="n">
        <v>0</v>
      </c>
      <c r="J878" t="n">
        <v>0</v>
      </c>
      <c r="K878" t="n">
        <v>0</v>
      </c>
      <c r="L878" t="n">
        <v>0</v>
      </c>
      <c r="M878" t="n">
        <v>0</v>
      </c>
      <c r="N878" t="n">
        <v>0</v>
      </c>
      <c r="O878" t="n">
        <v>0</v>
      </c>
      <c r="P878" t="n">
        <v>0</v>
      </c>
      <c r="Q878" t="n">
        <v>0</v>
      </c>
      <c r="R878" s="2" t="inlineStr"/>
    </row>
    <row r="879" ht="15" customHeight="1">
      <c r="A879" t="inlineStr">
        <is>
          <t>A 54661-2022</t>
        </is>
      </c>
      <c r="B879" s="1" t="n">
        <v>44883</v>
      </c>
      <c r="C879" s="1" t="n">
        <v>45357</v>
      </c>
      <c r="D879" t="inlineStr">
        <is>
          <t>JÄMTLANDS LÄN</t>
        </is>
      </c>
      <c r="E879" t="inlineStr">
        <is>
          <t>HÄRJEDALEN</t>
        </is>
      </c>
      <c r="G879" t="n">
        <v>5.9</v>
      </c>
      <c r="H879" t="n">
        <v>0</v>
      </c>
      <c r="I879" t="n">
        <v>0</v>
      </c>
      <c r="J879" t="n">
        <v>0</v>
      </c>
      <c r="K879" t="n">
        <v>0</v>
      </c>
      <c r="L879" t="n">
        <v>0</v>
      </c>
      <c r="M879" t="n">
        <v>0</v>
      </c>
      <c r="N879" t="n">
        <v>0</v>
      </c>
      <c r="O879" t="n">
        <v>0</v>
      </c>
      <c r="P879" t="n">
        <v>0</v>
      </c>
      <c r="Q879" t="n">
        <v>0</v>
      </c>
      <c r="R879" s="2" t="inlineStr"/>
    </row>
    <row r="880" ht="15" customHeight="1">
      <c r="A880" t="inlineStr">
        <is>
          <t>A 54762-2022</t>
        </is>
      </c>
      <c r="B880" s="1" t="n">
        <v>44883</v>
      </c>
      <c r="C880" s="1" t="n">
        <v>45357</v>
      </c>
      <c r="D880" t="inlineStr">
        <is>
          <t>JÄMTLANDS LÄN</t>
        </is>
      </c>
      <c r="E880" t="inlineStr">
        <is>
          <t>HÄRJEDALEN</t>
        </is>
      </c>
      <c r="G880" t="n">
        <v>1.8</v>
      </c>
      <c r="H880" t="n">
        <v>0</v>
      </c>
      <c r="I880" t="n">
        <v>0</v>
      </c>
      <c r="J880" t="n">
        <v>0</v>
      </c>
      <c r="K880" t="n">
        <v>0</v>
      </c>
      <c r="L880" t="n">
        <v>0</v>
      </c>
      <c r="M880" t="n">
        <v>0</v>
      </c>
      <c r="N880" t="n">
        <v>0</v>
      </c>
      <c r="O880" t="n">
        <v>0</v>
      </c>
      <c r="P880" t="n">
        <v>0</v>
      </c>
      <c r="Q880" t="n">
        <v>0</v>
      </c>
      <c r="R880" s="2" t="inlineStr"/>
    </row>
    <row r="881" ht="15" customHeight="1">
      <c r="A881" t="inlineStr">
        <is>
          <t>A 55100-2022</t>
        </is>
      </c>
      <c r="B881" s="1" t="n">
        <v>44886</v>
      </c>
      <c r="C881" s="1" t="n">
        <v>45357</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55103-2022</t>
        </is>
      </c>
      <c r="B882" s="1" t="n">
        <v>44886</v>
      </c>
      <c r="C882" s="1" t="n">
        <v>45357</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55931-2022</t>
        </is>
      </c>
      <c r="B883" s="1" t="n">
        <v>44886</v>
      </c>
      <c r="C883" s="1" t="n">
        <v>45357</v>
      </c>
      <c r="D883" t="inlineStr">
        <is>
          <t>JÄMTLANDS LÄN</t>
        </is>
      </c>
      <c r="E883" t="inlineStr">
        <is>
          <t>HÄRJEDALEN</t>
        </is>
      </c>
      <c r="F883" t="inlineStr">
        <is>
          <t>Övriga statliga verk och myndigheter</t>
        </is>
      </c>
      <c r="G883" t="n">
        <v>2.9</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45357</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56043-2022</t>
        </is>
      </c>
      <c r="B885" s="1" t="n">
        <v>44889</v>
      </c>
      <c r="C885" s="1" t="n">
        <v>45357</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57223-2022</t>
        </is>
      </c>
      <c r="B886" s="1" t="n">
        <v>44889</v>
      </c>
      <c r="C886" s="1" t="n">
        <v>45357</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56533-2022</t>
        </is>
      </c>
      <c r="B887" s="1" t="n">
        <v>44893</v>
      </c>
      <c r="C887" s="1" t="n">
        <v>45357</v>
      </c>
      <c r="D887" t="inlineStr">
        <is>
          <t>JÄMTLANDS LÄN</t>
        </is>
      </c>
      <c r="E887" t="inlineStr">
        <is>
          <t>HÄRJEDALEN</t>
        </is>
      </c>
      <c r="F887" t="inlineStr">
        <is>
          <t>Bergvik skog väst AB</t>
        </is>
      </c>
      <c r="G887" t="n">
        <v>3</v>
      </c>
      <c r="H887" t="n">
        <v>0</v>
      </c>
      <c r="I887" t="n">
        <v>0</v>
      </c>
      <c r="J887" t="n">
        <v>0</v>
      </c>
      <c r="K887" t="n">
        <v>0</v>
      </c>
      <c r="L887" t="n">
        <v>0</v>
      </c>
      <c r="M887" t="n">
        <v>0</v>
      </c>
      <c r="N887" t="n">
        <v>0</v>
      </c>
      <c r="O887" t="n">
        <v>0</v>
      </c>
      <c r="P887" t="n">
        <v>0</v>
      </c>
      <c r="Q887" t="n">
        <v>0</v>
      </c>
      <c r="R887" s="2" t="inlineStr"/>
    </row>
    <row r="888" ht="15" customHeight="1">
      <c r="A888" t="inlineStr">
        <is>
          <t>A 56992-2022</t>
        </is>
      </c>
      <c r="B888" s="1" t="n">
        <v>44894</v>
      </c>
      <c r="C888" s="1" t="n">
        <v>45357</v>
      </c>
      <c r="D888" t="inlineStr">
        <is>
          <t>JÄMTLANDS LÄN</t>
        </is>
      </c>
      <c r="E888" t="inlineStr">
        <is>
          <t>HÄRJEDALEN</t>
        </is>
      </c>
      <c r="G888" t="n">
        <v>1.2</v>
      </c>
      <c r="H888" t="n">
        <v>0</v>
      </c>
      <c r="I888" t="n">
        <v>0</v>
      </c>
      <c r="J888" t="n">
        <v>0</v>
      </c>
      <c r="K888" t="n">
        <v>0</v>
      </c>
      <c r="L888" t="n">
        <v>0</v>
      </c>
      <c r="M888" t="n">
        <v>0</v>
      </c>
      <c r="N888" t="n">
        <v>0</v>
      </c>
      <c r="O888" t="n">
        <v>0</v>
      </c>
      <c r="P888" t="n">
        <v>0</v>
      </c>
      <c r="Q888" t="n">
        <v>0</v>
      </c>
      <c r="R888" s="2" t="inlineStr"/>
    </row>
    <row r="889" ht="15" customHeight="1">
      <c r="A889" t="inlineStr">
        <is>
          <t>A 58425-2022</t>
        </is>
      </c>
      <c r="B889" s="1" t="n">
        <v>44901</v>
      </c>
      <c r="C889" s="1" t="n">
        <v>45357</v>
      </c>
      <c r="D889" t="inlineStr">
        <is>
          <t>JÄMTLANDS LÄN</t>
        </is>
      </c>
      <c r="E889" t="inlineStr">
        <is>
          <t>HÄRJEDALEN</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59094-2022</t>
        </is>
      </c>
      <c r="B890" s="1" t="n">
        <v>44904</v>
      </c>
      <c r="C890" s="1" t="n">
        <v>45357</v>
      </c>
      <c r="D890" t="inlineStr">
        <is>
          <t>JÄMTLANDS LÄN</t>
        </is>
      </c>
      <c r="E890" t="inlineStr">
        <is>
          <t>HÄRJEDALEN</t>
        </is>
      </c>
      <c r="F890" t="inlineStr">
        <is>
          <t>Bergvik skog väst AB</t>
        </is>
      </c>
      <c r="G890" t="n">
        <v>49.8</v>
      </c>
      <c r="H890" t="n">
        <v>0</v>
      </c>
      <c r="I890" t="n">
        <v>0</v>
      </c>
      <c r="J890" t="n">
        <v>0</v>
      </c>
      <c r="K890" t="n">
        <v>0</v>
      </c>
      <c r="L890" t="n">
        <v>0</v>
      </c>
      <c r="M890" t="n">
        <v>0</v>
      </c>
      <c r="N890" t="n">
        <v>0</v>
      </c>
      <c r="O890" t="n">
        <v>0</v>
      </c>
      <c r="P890" t="n">
        <v>0</v>
      </c>
      <c r="Q890" t="n">
        <v>0</v>
      </c>
      <c r="R890" s="2" t="inlineStr"/>
    </row>
    <row r="891" ht="15" customHeight="1">
      <c r="A891" t="inlineStr">
        <is>
          <t>A 59112-2022</t>
        </is>
      </c>
      <c r="B891" s="1" t="n">
        <v>44904</v>
      </c>
      <c r="C891" s="1" t="n">
        <v>45357</v>
      </c>
      <c r="D891" t="inlineStr">
        <is>
          <t>JÄMTLANDS LÄN</t>
        </is>
      </c>
      <c r="E891" t="inlineStr">
        <is>
          <t>HÄRJEDALEN</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59824-2022</t>
        </is>
      </c>
      <c r="B892" s="1" t="n">
        <v>44908</v>
      </c>
      <c r="C892" s="1" t="n">
        <v>45357</v>
      </c>
      <c r="D892" t="inlineStr">
        <is>
          <t>JÄMTLANDS LÄN</t>
        </is>
      </c>
      <c r="E892" t="inlineStr">
        <is>
          <t>HÄRJEDALEN</t>
        </is>
      </c>
      <c r="G892" t="n">
        <v>4.9</v>
      </c>
      <c r="H892" t="n">
        <v>0</v>
      </c>
      <c r="I892" t="n">
        <v>0</v>
      </c>
      <c r="J892" t="n">
        <v>0</v>
      </c>
      <c r="K892" t="n">
        <v>0</v>
      </c>
      <c r="L892" t="n">
        <v>0</v>
      </c>
      <c r="M892" t="n">
        <v>0</v>
      </c>
      <c r="N892" t="n">
        <v>0</v>
      </c>
      <c r="O892" t="n">
        <v>0</v>
      </c>
      <c r="P892" t="n">
        <v>0</v>
      </c>
      <c r="Q892" t="n">
        <v>0</v>
      </c>
      <c r="R892" s="2" t="inlineStr"/>
    </row>
    <row r="893" ht="15" customHeight="1">
      <c r="A893" t="inlineStr">
        <is>
          <t>A 59851-2022</t>
        </is>
      </c>
      <c r="B893" s="1" t="n">
        <v>44908</v>
      </c>
      <c r="C893" s="1" t="n">
        <v>45357</v>
      </c>
      <c r="D893" t="inlineStr">
        <is>
          <t>JÄMTLANDS LÄN</t>
        </is>
      </c>
      <c r="E893" t="inlineStr">
        <is>
          <t>HÄRJEDALEN</t>
        </is>
      </c>
      <c r="G893" t="n">
        <v>3.2</v>
      </c>
      <c r="H893" t="n">
        <v>0</v>
      </c>
      <c r="I893" t="n">
        <v>0</v>
      </c>
      <c r="J893" t="n">
        <v>0</v>
      </c>
      <c r="K893" t="n">
        <v>0</v>
      </c>
      <c r="L893" t="n">
        <v>0</v>
      </c>
      <c r="M893" t="n">
        <v>0</v>
      </c>
      <c r="N893" t="n">
        <v>0</v>
      </c>
      <c r="O893" t="n">
        <v>0</v>
      </c>
      <c r="P893" t="n">
        <v>0</v>
      </c>
      <c r="Q893" t="n">
        <v>0</v>
      </c>
      <c r="R893" s="2" t="inlineStr"/>
    </row>
    <row r="894" ht="15" customHeight="1">
      <c r="A894" t="inlineStr">
        <is>
          <t>A 59828-2022</t>
        </is>
      </c>
      <c r="B894" s="1" t="n">
        <v>44908</v>
      </c>
      <c r="C894" s="1" t="n">
        <v>45357</v>
      </c>
      <c r="D894" t="inlineStr">
        <is>
          <t>JÄMTLANDS LÄN</t>
        </is>
      </c>
      <c r="E894" t="inlineStr">
        <is>
          <t>HÄRJEDALEN</t>
        </is>
      </c>
      <c r="G894" t="n">
        <v>7.4</v>
      </c>
      <c r="H894" t="n">
        <v>0</v>
      </c>
      <c r="I894" t="n">
        <v>0</v>
      </c>
      <c r="J894" t="n">
        <v>0</v>
      </c>
      <c r="K894" t="n">
        <v>0</v>
      </c>
      <c r="L894" t="n">
        <v>0</v>
      </c>
      <c r="M894" t="n">
        <v>0</v>
      </c>
      <c r="N894" t="n">
        <v>0</v>
      </c>
      <c r="O894" t="n">
        <v>0</v>
      </c>
      <c r="P894" t="n">
        <v>0</v>
      </c>
      <c r="Q894" t="n">
        <v>0</v>
      </c>
      <c r="R894" s="2" t="inlineStr"/>
    </row>
    <row r="895" ht="15" customHeight="1">
      <c r="A895" t="inlineStr">
        <is>
          <t>A 59818-2022</t>
        </is>
      </c>
      <c r="B895" s="1" t="n">
        <v>44908</v>
      </c>
      <c r="C895" s="1" t="n">
        <v>45357</v>
      </c>
      <c r="D895" t="inlineStr">
        <is>
          <t>JÄMTLANDS LÄN</t>
        </is>
      </c>
      <c r="E895" t="inlineStr">
        <is>
          <t>HÄRJEDALEN</t>
        </is>
      </c>
      <c r="G895" t="n">
        <v>5.3</v>
      </c>
      <c r="H895" t="n">
        <v>0</v>
      </c>
      <c r="I895" t="n">
        <v>0</v>
      </c>
      <c r="J895" t="n">
        <v>0</v>
      </c>
      <c r="K895" t="n">
        <v>0</v>
      </c>
      <c r="L895" t="n">
        <v>0</v>
      </c>
      <c r="M895" t="n">
        <v>0</v>
      </c>
      <c r="N895" t="n">
        <v>0</v>
      </c>
      <c r="O895" t="n">
        <v>0</v>
      </c>
      <c r="P895" t="n">
        <v>0</v>
      </c>
      <c r="Q895" t="n">
        <v>0</v>
      </c>
      <c r="R895" s="2" t="inlineStr"/>
    </row>
    <row r="896" ht="15" customHeight="1">
      <c r="A896" t="inlineStr">
        <is>
          <t>A 61300-2022</t>
        </is>
      </c>
      <c r="B896" s="1" t="n">
        <v>44909</v>
      </c>
      <c r="C896" s="1" t="n">
        <v>45357</v>
      </c>
      <c r="D896" t="inlineStr">
        <is>
          <t>JÄMTLANDS LÄN</t>
        </is>
      </c>
      <c r="E896" t="inlineStr">
        <is>
          <t>HÄRJEDALEN</t>
        </is>
      </c>
      <c r="F896" t="inlineStr">
        <is>
          <t>Bergvik skog väst AB</t>
        </is>
      </c>
      <c r="G896" t="n">
        <v>14.1</v>
      </c>
      <c r="H896" t="n">
        <v>0</v>
      </c>
      <c r="I896" t="n">
        <v>0</v>
      </c>
      <c r="J896" t="n">
        <v>0</v>
      </c>
      <c r="K896" t="n">
        <v>0</v>
      </c>
      <c r="L896" t="n">
        <v>0</v>
      </c>
      <c r="M896" t="n">
        <v>0</v>
      </c>
      <c r="N896" t="n">
        <v>0</v>
      </c>
      <c r="O896" t="n">
        <v>0</v>
      </c>
      <c r="P896" t="n">
        <v>0</v>
      </c>
      <c r="Q896" t="n">
        <v>0</v>
      </c>
      <c r="R896" s="2" t="inlineStr"/>
    </row>
    <row r="897" ht="15" customHeight="1">
      <c r="A897" t="inlineStr">
        <is>
          <t>A 60236-2022</t>
        </is>
      </c>
      <c r="B897" s="1" t="n">
        <v>44910</v>
      </c>
      <c r="C897" s="1" t="n">
        <v>45357</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60542-2022</t>
        </is>
      </c>
      <c r="B898" s="1" t="n">
        <v>44911</v>
      </c>
      <c r="C898" s="1" t="n">
        <v>45357</v>
      </c>
      <c r="D898" t="inlineStr">
        <is>
          <t>JÄMTLANDS LÄN</t>
        </is>
      </c>
      <c r="E898" t="inlineStr">
        <is>
          <t>HÄRJEDALEN</t>
        </is>
      </c>
      <c r="F898" t="inlineStr">
        <is>
          <t>Bergvik skog väst AB</t>
        </is>
      </c>
      <c r="G898" t="n">
        <v>1.3</v>
      </c>
      <c r="H898" t="n">
        <v>0</v>
      </c>
      <c r="I898" t="n">
        <v>0</v>
      </c>
      <c r="J898" t="n">
        <v>0</v>
      </c>
      <c r="K898" t="n">
        <v>0</v>
      </c>
      <c r="L898" t="n">
        <v>0</v>
      </c>
      <c r="M898" t="n">
        <v>0</v>
      </c>
      <c r="N898" t="n">
        <v>0</v>
      </c>
      <c r="O898" t="n">
        <v>0</v>
      </c>
      <c r="P898" t="n">
        <v>0</v>
      </c>
      <c r="Q898" t="n">
        <v>0</v>
      </c>
      <c r="R898" s="2" t="inlineStr"/>
    </row>
    <row r="899" ht="15" customHeight="1">
      <c r="A899" t="inlineStr">
        <is>
          <t>A 60887-2022</t>
        </is>
      </c>
      <c r="B899" s="1" t="n">
        <v>44914</v>
      </c>
      <c r="C899" s="1" t="n">
        <v>45357</v>
      </c>
      <c r="D899" t="inlineStr">
        <is>
          <t>JÄMTLANDS LÄN</t>
        </is>
      </c>
      <c r="E899" t="inlineStr">
        <is>
          <t>HÄRJEDALEN</t>
        </is>
      </c>
      <c r="G899" t="n">
        <v>0.9</v>
      </c>
      <c r="H899" t="n">
        <v>0</v>
      </c>
      <c r="I899" t="n">
        <v>0</v>
      </c>
      <c r="J899" t="n">
        <v>0</v>
      </c>
      <c r="K899" t="n">
        <v>0</v>
      </c>
      <c r="L899" t="n">
        <v>0</v>
      </c>
      <c r="M899" t="n">
        <v>0</v>
      </c>
      <c r="N899" t="n">
        <v>0</v>
      </c>
      <c r="O899" t="n">
        <v>0</v>
      </c>
      <c r="P899" t="n">
        <v>0</v>
      </c>
      <c r="Q899" t="n">
        <v>0</v>
      </c>
      <c r="R899" s="2" t="inlineStr"/>
    </row>
    <row r="900" ht="15" customHeight="1">
      <c r="A900" t="inlineStr">
        <is>
          <t>A 60983-2022</t>
        </is>
      </c>
      <c r="B900" s="1" t="n">
        <v>44914</v>
      </c>
      <c r="C900" s="1" t="n">
        <v>45357</v>
      </c>
      <c r="D900" t="inlineStr">
        <is>
          <t>JÄMTLANDS LÄN</t>
        </is>
      </c>
      <c r="E900" t="inlineStr">
        <is>
          <t>HÄRJEDALEN</t>
        </is>
      </c>
      <c r="G900" t="n">
        <v>44</v>
      </c>
      <c r="H900" t="n">
        <v>0</v>
      </c>
      <c r="I900" t="n">
        <v>0</v>
      </c>
      <c r="J900" t="n">
        <v>0</v>
      </c>
      <c r="K900" t="n">
        <v>0</v>
      </c>
      <c r="L900" t="n">
        <v>0</v>
      </c>
      <c r="M900" t="n">
        <v>0</v>
      </c>
      <c r="N900" t="n">
        <v>0</v>
      </c>
      <c r="O900" t="n">
        <v>0</v>
      </c>
      <c r="P900" t="n">
        <v>0</v>
      </c>
      <c r="Q900" t="n">
        <v>0</v>
      </c>
      <c r="R900" s="2" t="inlineStr"/>
    </row>
    <row r="901" ht="15" customHeight="1">
      <c r="A901" t="inlineStr">
        <is>
          <t>A 60897-2022</t>
        </is>
      </c>
      <c r="B901" s="1" t="n">
        <v>44914</v>
      </c>
      <c r="C901" s="1" t="n">
        <v>45357</v>
      </c>
      <c r="D901" t="inlineStr">
        <is>
          <t>JÄMTLANDS LÄN</t>
        </is>
      </c>
      <c r="E901" t="inlineStr">
        <is>
          <t>HÄRJEDALEN</t>
        </is>
      </c>
      <c r="F901" t="inlineStr">
        <is>
          <t>Holmen skog AB</t>
        </is>
      </c>
      <c r="G901" t="n">
        <v>0.3</v>
      </c>
      <c r="H901" t="n">
        <v>0</v>
      </c>
      <c r="I901" t="n">
        <v>0</v>
      </c>
      <c r="J901" t="n">
        <v>0</v>
      </c>
      <c r="K901" t="n">
        <v>0</v>
      </c>
      <c r="L901" t="n">
        <v>0</v>
      </c>
      <c r="M901" t="n">
        <v>0</v>
      </c>
      <c r="N901" t="n">
        <v>0</v>
      </c>
      <c r="O901" t="n">
        <v>0</v>
      </c>
      <c r="P901" t="n">
        <v>0</v>
      </c>
      <c r="Q901" t="n">
        <v>0</v>
      </c>
      <c r="R901" s="2" t="inlineStr"/>
      <c r="U901">
        <f>HYPERLINK("https://klasma.github.io/Logging_2361/knärot/A 60897-2022 karta knärot.png", "A 60897-2022")</f>
        <v/>
      </c>
      <c r="V901">
        <f>HYPERLINK("https://klasma.github.io/Logging_2361/klagomål/A 60897-2022 FSC-klagomål.docx", "A 60897-2022")</f>
        <v/>
      </c>
      <c r="W901">
        <f>HYPERLINK("https://klasma.github.io/Logging_2361/klagomålsmail/A 60897-2022 FSC-klagomål mail.docx", "A 60897-2022")</f>
        <v/>
      </c>
      <c r="X901">
        <f>HYPERLINK("https://klasma.github.io/Logging_2361/tillsyn/A 60897-2022 tillsynsbegäran.docx", "A 60897-2022")</f>
        <v/>
      </c>
      <c r="Y901">
        <f>HYPERLINK("https://klasma.github.io/Logging_2361/tillsynsmail/A 60897-2022 tillsynsbegäran mail.docx", "A 60897-2022")</f>
        <v/>
      </c>
    </row>
    <row r="902" ht="15" customHeight="1">
      <c r="A902" t="inlineStr">
        <is>
          <t>A 60933-2022</t>
        </is>
      </c>
      <c r="B902" s="1" t="n">
        <v>44914</v>
      </c>
      <c r="C902" s="1" t="n">
        <v>45357</v>
      </c>
      <c r="D902" t="inlineStr">
        <is>
          <t>JÄMTLANDS LÄN</t>
        </is>
      </c>
      <c r="E902" t="inlineStr">
        <is>
          <t>HÄRJEDALEN</t>
        </is>
      </c>
      <c r="G902" t="n">
        <v>0.7</v>
      </c>
      <c r="H902" t="n">
        <v>0</v>
      </c>
      <c r="I902" t="n">
        <v>0</v>
      </c>
      <c r="J902" t="n">
        <v>0</v>
      </c>
      <c r="K902" t="n">
        <v>0</v>
      </c>
      <c r="L902" t="n">
        <v>0</v>
      </c>
      <c r="M902" t="n">
        <v>0</v>
      </c>
      <c r="N902" t="n">
        <v>0</v>
      </c>
      <c r="O902" t="n">
        <v>0</v>
      </c>
      <c r="P902" t="n">
        <v>0</v>
      </c>
      <c r="Q902" t="n">
        <v>0</v>
      </c>
      <c r="R902" s="2" t="inlineStr"/>
    </row>
    <row r="903" ht="15" customHeight="1">
      <c r="A903" t="inlineStr">
        <is>
          <t>A 61571-2022</t>
        </is>
      </c>
      <c r="B903" s="1" t="n">
        <v>44916</v>
      </c>
      <c r="C903" s="1" t="n">
        <v>45357</v>
      </c>
      <c r="D903" t="inlineStr">
        <is>
          <t>JÄMTLANDS LÄN</t>
        </is>
      </c>
      <c r="E903" t="inlineStr">
        <is>
          <t>HÄRJEDALEN</t>
        </is>
      </c>
      <c r="G903" t="n">
        <v>3.4</v>
      </c>
      <c r="H903" t="n">
        <v>0</v>
      </c>
      <c r="I903" t="n">
        <v>0</v>
      </c>
      <c r="J903" t="n">
        <v>0</v>
      </c>
      <c r="K903" t="n">
        <v>0</v>
      </c>
      <c r="L903" t="n">
        <v>0</v>
      </c>
      <c r="M903" t="n">
        <v>0</v>
      </c>
      <c r="N903" t="n">
        <v>0</v>
      </c>
      <c r="O903" t="n">
        <v>0</v>
      </c>
      <c r="P903" t="n">
        <v>0</v>
      </c>
      <c r="Q903" t="n">
        <v>0</v>
      </c>
      <c r="R903" s="2" t="inlineStr"/>
    </row>
    <row r="904" ht="15" customHeight="1">
      <c r="A904" t="inlineStr">
        <is>
          <t>A 62500-2022</t>
        </is>
      </c>
      <c r="B904" s="1" t="n">
        <v>44924</v>
      </c>
      <c r="C904" s="1" t="n">
        <v>45357</v>
      </c>
      <c r="D904" t="inlineStr">
        <is>
          <t>JÄMTLANDS LÄN</t>
        </is>
      </c>
      <c r="E904" t="inlineStr">
        <is>
          <t>HÄRJEDALEN</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62513-2022</t>
        </is>
      </c>
      <c r="B905" s="1" t="n">
        <v>44924</v>
      </c>
      <c r="C905" s="1" t="n">
        <v>45357</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62535-2022</t>
        </is>
      </c>
      <c r="B906" s="1" t="n">
        <v>44924</v>
      </c>
      <c r="C906" s="1" t="n">
        <v>45357</v>
      </c>
      <c r="D906" t="inlineStr">
        <is>
          <t>JÄMTLANDS LÄN</t>
        </is>
      </c>
      <c r="E906" t="inlineStr">
        <is>
          <t>HÄRJEDALEN</t>
        </is>
      </c>
      <c r="F906" t="inlineStr">
        <is>
          <t>Holmen skog AB</t>
        </is>
      </c>
      <c r="G906" t="n">
        <v>5.9</v>
      </c>
      <c r="H906" t="n">
        <v>0</v>
      </c>
      <c r="I906" t="n">
        <v>0</v>
      </c>
      <c r="J906" t="n">
        <v>0</v>
      </c>
      <c r="K906" t="n">
        <v>0</v>
      </c>
      <c r="L906" t="n">
        <v>0</v>
      </c>
      <c r="M906" t="n">
        <v>0</v>
      </c>
      <c r="N906" t="n">
        <v>0</v>
      </c>
      <c r="O906" t="n">
        <v>0</v>
      </c>
      <c r="P906" t="n">
        <v>0</v>
      </c>
      <c r="Q906" t="n">
        <v>0</v>
      </c>
      <c r="R906" s="2" t="inlineStr"/>
    </row>
    <row r="907" ht="15" customHeight="1">
      <c r="A907" t="inlineStr">
        <is>
          <t>A 62505-2022</t>
        </is>
      </c>
      <c r="B907" s="1" t="n">
        <v>44924</v>
      </c>
      <c r="C907" s="1" t="n">
        <v>45357</v>
      </c>
      <c r="D907" t="inlineStr">
        <is>
          <t>JÄMTLANDS LÄN</t>
        </is>
      </c>
      <c r="E907" t="inlineStr">
        <is>
          <t>HÄRJEDALEN</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62533-2022</t>
        </is>
      </c>
      <c r="B908" s="1" t="n">
        <v>44924</v>
      </c>
      <c r="C908" s="1" t="n">
        <v>45357</v>
      </c>
      <c r="D908" t="inlineStr">
        <is>
          <t>JÄMTLANDS LÄN</t>
        </is>
      </c>
      <c r="E908" t="inlineStr">
        <is>
          <t>HÄRJEDALEN</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62639-2022</t>
        </is>
      </c>
      <c r="B909" s="1" t="n">
        <v>44925</v>
      </c>
      <c r="C909" s="1" t="n">
        <v>45357</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62696-2022</t>
        </is>
      </c>
      <c r="B910" s="1" t="n">
        <v>44925</v>
      </c>
      <c r="C910" s="1" t="n">
        <v>45357</v>
      </c>
      <c r="D910" t="inlineStr">
        <is>
          <t>JÄMTLANDS LÄN</t>
        </is>
      </c>
      <c r="E910" t="inlineStr">
        <is>
          <t>HÄRJEDALEN</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62702-2022</t>
        </is>
      </c>
      <c r="B911" s="1" t="n">
        <v>44925</v>
      </c>
      <c r="C911" s="1" t="n">
        <v>45357</v>
      </c>
      <c r="D911" t="inlineStr">
        <is>
          <t>JÄMTLANDS LÄN</t>
        </is>
      </c>
      <c r="E911" t="inlineStr">
        <is>
          <t>HÄRJEDALEN</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62719-2022</t>
        </is>
      </c>
      <c r="B912" s="1" t="n">
        <v>44925</v>
      </c>
      <c r="C912" s="1" t="n">
        <v>45357</v>
      </c>
      <c r="D912" t="inlineStr">
        <is>
          <t>JÄMTLANDS LÄN</t>
        </is>
      </c>
      <c r="E912" t="inlineStr">
        <is>
          <t>HÄRJEDALEN</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62724-2022</t>
        </is>
      </c>
      <c r="B913" s="1" t="n">
        <v>44925</v>
      </c>
      <c r="C913" s="1" t="n">
        <v>45357</v>
      </c>
      <c r="D913" t="inlineStr">
        <is>
          <t>JÄMTLANDS LÄN</t>
        </is>
      </c>
      <c r="E913" t="inlineStr">
        <is>
          <t>HÄRJEDALEN</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62599-2022</t>
        </is>
      </c>
      <c r="B914" s="1" t="n">
        <v>44925</v>
      </c>
      <c r="C914" s="1" t="n">
        <v>45357</v>
      </c>
      <c r="D914" t="inlineStr">
        <is>
          <t>JÄMTLANDS LÄN</t>
        </is>
      </c>
      <c r="E914" t="inlineStr">
        <is>
          <t>HÄRJEDALEN</t>
        </is>
      </c>
      <c r="F914" t="inlineStr">
        <is>
          <t>Holmen skog AB</t>
        </is>
      </c>
      <c r="G914" t="n">
        <v>8.1</v>
      </c>
      <c r="H914" t="n">
        <v>0</v>
      </c>
      <c r="I914" t="n">
        <v>0</v>
      </c>
      <c r="J914" t="n">
        <v>0</v>
      </c>
      <c r="K914" t="n">
        <v>0</v>
      </c>
      <c r="L914" t="n">
        <v>0</v>
      </c>
      <c r="M914" t="n">
        <v>0</v>
      </c>
      <c r="N914" t="n">
        <v>0</v>
      </c>
      <c r="O914" t="n">
        <v>0</v>
      </c>
      <c r="P914" t="n">
        <v>0</v>
      </c>
      <c r="Q914" t="n">
        <v>0</v>
      </c>
      <c r="R914" s="2" t="inlineStr"/>
    </row>
    <row r="915" ht="15" customHeight="1">
      <c r="A915" t="inlineStr">
        <is>
          <t>A 62641-2022</t>
        </is>
      </c>
      <c r="B915" s="1" t="n">
        <v>44925</v>
      </c>
      <c r="C915" s="1" t="n">
        <v>45357</v>
      </c>
      <c r="D915" t="inlineStr">
        <is>
          <t>JÄMTLANDS LÄN</t>
        </is>
      </c>
      <c r="E915" t="inlineStr">
        <is>
          <t>HÄRJEDALEN</t>
        </is>
      </c>
      <c r="G915" t="n">
        <v>2.7</v>
      </c>
      <c r="H915" t="n">
        <v>0</v>
      </c>
      <c r="I915" t="n">
        <v>0</v>
      </c>
      <c r="J915" t="n">
        <v>0</v>
      </c>
      <c r="K915" t="n">
        <v>0</v>
      </c>
      <c r="L915" t="n">
        <v>0</v>
      </c>
      <c r="M915" t="n">
        <v>0</v>
      </c>
      <c r="N915" t="n">
        <v>0</v>
      </c>
      <c r="O915" t="n">
        <v>0</v>
      </c>
      <c r="P915" t="n">
        <v>0</v>
      </c>
      <c r="Q915" t="n">
        <v>0</v>
      </c>
      <c r="R915" s="2" t="inlineStr"/>
    </row>
    <row r="916" ht="15" customHeight="1">
      <c r="A916" t="inlineStr">
        <is>
          <t>A 62591-2022</t>
        </is>
      </c>
      <c r="B916" s="1" t="n">
        <v>44925</v>
      </c>
      <c r="C916" s="1" t="n">
        <v>45357</v>
      </c>
      <c r="D916" t="inlineStr">
        <is>
          <t>JÄMTLANDS LÄN</t>
        </is>
      </c>
      <c r="E916" t="inlineStr">
        <is>
          <t>HÄRJEDALEN</t>
        </is>
      </c>
      <c r="G916" t="n">
        <v>32.7</v>
      </c>
      <c r="H916" t="n">
        <v>0</v>
      </c>
      <c r="I916" t="n">
        <v>0</v>
      </c>
      <c r="J916" t="n">
        <v>0</v>
      </c>
      <c r="K916" t="n">
        <v>0</v>
      </c>
      <c r="L916" t="n">
        <v>0</v>
      </c>
      <c r="M916" t="n">
        <v>0</v>
      </c>
      <c r="N916" t="n">
        <v>0</v>
      </c>
      <c r="O916" t="n">
        <v>0</v>
      </c>
      <c r="P916" t="n">
        <v>0</v>
      </c>
      <c r="Q916" t="n">
        <v>0</v>
      </c>
      <c r="R916" s="2" t="inlineStr"/>
    </row>
    <row r="917" ht="15" customHeight="1">
      <c r="A917" t="inlineStr">
        <is>
          <t>A 62653-2022</t>
        </is>
      </c>
      <c r="B917" s="1" t="n">
        <v>44925</v>
      </c>
      <c r="C917" s="1" t="n">
        <v>45357</v>
      </c>
      <c r="D917" t="inlineStr">
        <is>
          <t>JÄMTLANDS LÄN</t>
        </is>
      </c>
      <c r="E917" t="inlineStr">
        <is>
          <t>HÄRJEDALEN</t>
        </is>
      </c>
      <c r="G917" t="n">
        <v>3.8</v>
      </c>
      <c r="H917" t="n">
        <v>0</v>
      </c>
      <c r="I917" t="n">
        <v>0</v>
      </c>
      <c r="J917" t="n">
        <v>0</v>
      </c>
      <c r="K917" t="n">
        <v>0</v>
      </c>
      <c r="L917" t="n">
        <v>0</v>
      </c>
      <c r="M917" t="n">
        <v>0</v>
      </c>
      <c r="N917" t="n">
        <v>0</v>
      </c>
      <c r="O917" t="n">
        <v>0</v>
      </c>
      <c r="P917" t="n">
        <v>0</v>
      </c>
      <c r="Q917" t="n">
        <v>0</v>
      </c>
      <c r="R917" s="2" t="inlineStr"/>
    </row>
    <row r="918" ht="15" customHeight="1">
      <c r="A918" t="inlineStr">
        <is>
          <t>A 62687-2022</t>
        </is>
      </c>
      <c r="B918" s="1" t="n">
        <v>44925</v>
      </c>
      <c r="C918" s="1" t="n">
        <v>45357</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62694-2022</t>
        </is>
      </c>
      <c r="B919" s="1" t="n">
        <v>44925</v>
      </c>
      <c r="C919" s="1" t="n">
        <v>45357</v>
      </c>
      <c r="D919" t="inlineStr">
        <is>
          <t>JÄMTLANDS LÄN</t>
        </is>
      </c>
      <c r="E919" t="inlineStr">
        <is>
          <t>HÄRJEDALEN</t>
        </is>
      </c>
      <c r="F919" t="inlineStr">
        <is>
          <t>Holmen skog AB</t>
        </is>
      </c>
      <c r="G919" t="n">
        <v>4.5</v>
      </c>
      <c r="H919" t="n">
        <v>0</v>
      </c>
      <c r="I919" t="n">
        <v>0</v>
      </c>
      <c r="J919" t="n">
        <v>0</v>
      </c>
      <c r="K919" t="n">
        <v>0</v>
      </c>
      <c r="L919" t="n">
        <v>0</v>
      </c>
      <c r="M919" t="n">
        <v>0</v>
      </c>
      <c r="N919" t="n">
        <v>0</v>
      </c>
      <c r="O919" t="n">
        <v>0</v>
      </c>
      <c r="P919" t="n">
        <v>0</v>
      </c>
      <c r="Q919" t="n">
        <v>0</v>
      </c>
      <c r="R919" s="2" t="inlineStr"/>
    </row>
    <row r="920" ht="15" customHeight="1">
      <c r="A920" t="inlineStr">
        <is>
          <t>A 62708-2022</t>
        </is>
      </c>
      <c r="B920" s="1" t="n">
        <v>44925</v>
      </c>
      <c r="C920" s="1" t="n">
        <v>45357</v>
      </c>
      <c r="D920" t="inlineStr">
        <is>
          <t>JÄMTLANDS LÄN</t>
        </is>
      </c>
      <c r="E920" t="inlineStr">
        <is>
          <t>HÄRJEDALEN</t>
        </is>
      </c>
      <c r="F920" t="inlineStr">
        <is>
          <t>Holmen skog AB</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62590-2022</t>
        </is>
      </c>
      <c r="B921" s="1" t="n">
        <v>44925</v>
      </c>
      <c r="C921" s="1" t="n">
        <v>45357</v>
      </c>
      <c r="D921" t="inlineStr">
        <is>
          <t>JÄMTLANDS LÄN</t>
        </is>
      </c>
      <c r="E921" t="inlineStr">
        <is>
          <t>HÄRJEDALEN</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62684-2022</t>
        </is>
      </c>
      <c r="B922" s="1" t="n">
        <v>44925</v>
      </c>
      <c r="C922" s="1" t="n">
        <v>45357</v>
      </c>
      <c r="D922" t="inlineStr">
        <is>
          <t>JÄMTLANDS LÄN</t>
        </is>
      </c>
      <c r="E922" t="inlineStr">
        <is>
          <t>HÄRJEDALEN</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62699-2022</t>
        </is>
      </c>
      <c r="B923" s="1" t="n">
        <v>44925</v>
      </c>
      <c r="C923" s="1" t="n">
        <v>45357</v>
      </c>
      <c r="D923" t="inlineStr">
        <is>
          <t>JÄMTLANDS LÄN</t>
        </is>
      </c>
      <c r="E923" t="inlineStr">
        <is>
          <t>HÄRJEDALEN</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62706-2022</t>
        </is>
      </c>
      <c r="B924" s="1" t="n">
        <v>44925</v>
      </c>
      <c r="C924" s="1" t="n">
        <v>45357</v>
      </c>
      <c r="D924" t="inlineStr">
        <is>
          <t>JÄMTLANDS LÄN</t>
        </is>
      </c>
      <c r="E924" t="inlineStr">
        <is>
          <t>HÄRJEDALEN</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62721-2022</t>
        </is>
      </c>
      <c r="B925" s="1" t="n">
        <v>44925</v>
      </c>
      <c r="C925" s="1" t="n">
        <v>45357</v>
      </c>
      <c r="D925" t="inlineStr">
        <is>
          <t>JÄMTLANDS LÄN</t>
        </is>
      </c>
      <c r="E925" t="inlineStr">
        <is>
          <t>HÄRJEDALEN</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105-2023</t>
        </is>
      </c>
      <c r="B926" s="1" t="n">
        <v>44928</v>
      </c>
      <c r="C926" s="1" t="n">
        <v>45357</v>
      </c>
      <c r="D926" t="inlineStr">
        <is>
          <t>JÄMTLANDS LÄN</t>
        </is>
      </c>
      <c r="E926" t="inlineStr">
        <is>
          <t>HÄRJEDALEN</t>
        </is>
      </c>
      <c r="F926" t="inlineStr">
        <is>
          <t>Holmen skog AB</t>
        </is>
      </c>
      <c r="G926" t="n">
        <v>17.5</v>
      </c>
      <c r="H926" t="n">
        <v>0</v>
      </c>
      <c r="I926" t="n">
        <v>0</v>
      </c>
      <c r="J926" t="n">
        <v>0</v>
      </c>
      <c r="K926" t="n">
        <v>0</v>
      </c>
      <c r="L926" t="n">
        <v>0</v>
      </c>
      <c r="M926" t="n">
        <v>0</v>
      </c>
      <c r="N926" t="n">
        <v>0</v>
      </c>
      <c r="O926" t="n">
        <v>0</v>
      </c>
      <c r="P926" t="n">
        <v>0</v>
      </c>
      <c r="Q926" t="n">
        <v>0</v>
      </c>
      <c r="R926" s="2" t="inlineStr"/>
    </row>
    <row r="927" ht="15" customHeight="1">
      <c r="A927" t="inlineStr">
        <is>
          <t>A 29-2023</t>
        </is>
      </c>
      <c r="B927" s="1" t="n">
        <v>44928</v>
      </c>
      <c r="C927" s="1" t="n">
        <v>45357</v>
      </c>
      <c r="D927" t="inlineStr">
        <is>
          <t>JÄMTLANDS LÄN</t>
        </is>
      </c>
      <c r="E927" t="inlineStr">
        <is>
          <t>HÄRJEDALEN</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35-2023</t>
        </is>
      </c>
      <c r="B928" s="1" t="n">
        <v>44928</v>
      </c>
      <c r="C928" s="1" t="n">
        <v>45357</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78-2023</t>
        </is>
      </c>
      <c r="B929" s="1" t="n">
        <v>44928</v>
      </c>
      <c r="C929" s="1" t="n">
        <v>45357</v>
      </c>
      <c r="D929" t="inlineStr">
        <is>
          <t>JÄMTLANDS LÄN</t>
        </is>
      </c>
      <c r="E929" t="inlineStr">
        <is>
          <t>HÄRJEDALEN</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45357</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166-2023</t>
        </is>
      </c>
      <c r="B931" s="1" t="n">
        <v>44928</v>
      </c>
      <c r="C931" s="1" t="n">
        <v>45357</v>
      </c>
      <c r="D931" t="inlineStr">
        <is>
          <t>JÄMTLANDS LÄN</t>
        </is>
      </c>
      <c r="E931" t="inlineStr">
        <is>
          <t>HÄRJEDALEN</t>
        </is>
      </c>
      <c r="F931" t="inlineStr">
        <is>
          <t>Holmen skog AB</t>
        </is>
      </c>
      <c r="G931" t="n">
        <v>13.5</v>
      </c>
      <c r="H931" t="n">
        <v>0</v>
      </c>
      <c r="I931" t="n">
        <v>0</v>
      </c>
      <c r="J931" t="n">
        <v>0</v>
      </c>
      <c r="K931" t="n">
        <v>0</v>
      </c>
      <c r="L931" t="n">
        <v>0</v>
      </c>
      <c r="M931" t="n">
        <v>0</v>
      </c>
      <c r="N931" t="n">
        <v>0</v>
      </c>
      <c r="O931" t="n">
        <v>0</v>
      </c>
      <c r="P931" t="n">
        <v>0</v>
      </c>
      <c r="Q931" t="n">
        <v>0</v>
      </c>
      <c r="R931" s="2" t="inlineStr"/>
    </row>
    <row r="932" ht="15" customHeight="1">
      <c r="A932" t="inlineStr">
        <is>
          <t>A 176-2023</t>
        </is>
      </c>
      <c r="B932" s="1" t="n">
        <v>44928</v>
      </c>
      <c r="C932" s="1" t="n">
        <v>45357</v>
      </c>
      <c r="D932" t="inlineStr">
        <is>
          <t>JÄMTLANDS LÄN</t>
        </is>
      </c>
      <c r="E932" t="inlineStr">
        <is>
          <t>HÄRJEDALEN</t>
        </is>
      </c>
      <c r="F932" t="inlineStr">
        <is>
          <t>Holmen skog AB</t>
        </is>
      </c>
      <c r="G932" t="n">
        <v>5.9</v>
      </c>
      <c r="H932" t="n">
        <v>0</v>
      </c>
      <c r="I932" t="n">
        <v>0</v>
      </c>
      <c r="J932" t="n">
        <v>0</v>
      </c>
      <c r="K932" t="n">
        <v>0</v>
      </c>
      <c r="L932" t="n">
        <v>0</v>
      </c>
      <c r="M932" t="n">
        <v>0</v>
      </c>
      <c r="N932" t="n">
        <v>0</v>
      </c>
      <c r="O932" t="n">
        <v>0</v>
      </c>
      <c r="P932" t="n">
        <v>0</v>
      </c>
      <c r="Q932" t="n">
        <v>0</v>
      </c>
      <c r="R932" s="2" t="inlineStr"/>
    </row>
    <row r="933" ht="15" customHeight="1">
      <c r="A933" t="inlineStr">
        <is>
          <t>A 171-2023</t>
        </is>
      </c>
      <c r="B933" s="1" t="n">
        <v>44928</v>
      </c>
      <c r="C933" s="1" t="n">
        <v>45357</v>
      </c>
      <c r="D933" t="inlineStr">
        <is>
          <t>JÄMTLANDS LÄN</t>
        </is>
      </c>
      <c r="E933" t="inlineStr">
        <is>
          <t>HÄRJEDALEN</t>
        </is>
      </c>
      <c r="F933" t="inlineStr">
        <is>
          <t>Holmen skog AB</t>
        </is>
      </c>
      <c r="G933" t="n">
        <v>5.7</v>
      </c>
      <c r="H933" t="n">
        <v>0</v>
      </c>
      <c r="I933" t="n">
        <v>0</v>
      </c>
      <c r="J933" t="n">
        <v>0</v>
      </c>
      <c r="K933" t="n">
        <v>0</v>
      </c>
      <c r="L933" t="n">
        <v>0</v>
      </c>
      <c r="M933" t="n">
        <v>0</v>
      </c>
      <c r="N933" t="n">
        <v>0</v>
      </c>
      <c r="O933" t="n">
        <v>0</v>
      </c>
      <c r="P933" t="n">
        <v>0</v>
      </c>
      <c r="Q933" t="n">
        <v>0</v>
      </c>
      <c r="R933" s="2" t="inlineStr"/>
    </row>
    <row r="934" ht="15" customHeight="1">
      <c r="A934" t="inlineStr">
        <is>
          <t>A 1907-2023</t>
        </is>
      </c>
      <c r="B934" s="1" t="n">
        <v>44939</v>
      </c>
      <c r="C934" s="1" t="n">
        <v>45357</v>
      </c>
      <c r="D934" t="inlineStr">
        <is>
          <t>JÄMTLANDS LÄN</t>
        </is>
      </c>
      <c r="E934" t="inlineStr">
        <is>
          <t>HÄRJEDALEN</t>
        </is>
      </c>
      <c r="F934" t="inlineStr">
        <is>
          <t>Holmen skog AB</t>
        </is>
      </c>
      <c r="G934" t="n">
        <v>1</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v>
      </c>
      <c r="C935" s="1" t="n">
        <v>45357</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4196-2023</t>
        </is>
      </c>
      <c r="B936" s="1" t="n">
        <v>44953</v>
      </c>
      <c r="C936" s="1" t="n">
        <v>45357</v>
      </c>
      <c r="D936" t="inlineStr">
        <is>
          <t>JÄMTLANDS LÄN</t>
        </is>
      </c>
      <c r="E936" t="inlineStr">
        <is>
          <t>HÄRJEDALEN</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4694-2023</t>
        </is>
      </c>
      <c r="B937" s="1" t="n">
        <v>44957</v>
      </c>
      <c r="C937" s="1" t="n">
        <v>45357</v>
      </c>
      <c r="D937" t="inlineStr">
        <is>
          <t>JÄMTLANDS LÄN</t>
        </is>
      </c>
      <c r="E937" t="inlineStr">
        <is>
          <t>HÄRJEDALEN</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4712-2023</t>
        </is>
      </c>
      <c r="B938" s="1" t="n">
        <v>44957</v>
      </c>
      <c r="C938" s="1" t="n">
        <v>45357</v>
      </c>
      <c r="D938" t="inlineStr">
        <is>
          <t>JÄMTLANDS LÄN</t>
        </is>
      </c>
      <c r="E938" t="inlineStr">
        <is>
          <t>HÄRJEDALEN</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4711-2023</t>
        </is>
      </c>
      <c r="B939" s="1" t="n">
        <v>44957</v>
      </c>
      <c r="C939" s="1" t="n">
        <v>45357</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4782-2023</t>
        </is>
      </c>
      <c r="B940" s="1" t="n">
        <v>44957</v>
      </c>
      <c r="C940" s="1" t="n">
        <v>45357</v>
      </c>
      <c r="D940" t="inlineStr">
        <is>
          <t>JÄMTLANDS LÄN</t>
        </is>
      </c>
      <c r="E940" t="inlineStr">
        <is>
          <t>HÄRJEDALEN</t>
        </is>
      </c>
      <c r="F940" t="inlineStr">
        <is>
          <t>Holmen skog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5013-2023</t>
        </is>
      </c>
      <c r="B941" s="1" t="n">
        <v>44958</v>
      </c>
      <c r="C941" s="1" t="n">
        <v>45357</v>
      </c>
      <c r="D941" t="inlineStr">
        <is>
          <t>JÄMTLANDS LÄN</t>
        </is>
      </c>
      <c r="E941" t="inlineStr">
        <is>
          <t>HÄRJEDALEN</t>
        </is>
      </c>
      <c r="F941" t="inlineStr">
        <is>
          <t>Bergvik skog väst AB</t>
        </is>
      </c>
      <c r="G941" t="n">
        <v>0.2</v>
      </c>
      <c r="H941" t="n">
        <v>0</v>
      </c>
      <c r="I941" t="n">
        <v>0</v>
      </c>
      <c r="J941" t="n">
        <v>0</v>
      </c>
      <c r="K941" t="n">
        <v>0</v>
      </c>
      <c r="L941" t="n">
        <v>0</v>
      </c>
      <c r="M941" t="n">
        <v>0</v>
      </c>
      <c r="N941" t="n">
        <v>0</v>
      </c>
      <c r="O941" t="n">
        <v>0</v>
      </c>
      <c r="P941" t="n">
        <v>0</v>
      </c>
      <c r="Q941" t="n">
        <v>0</v>
      </c>
      <c r="R941" s="2" t="inlineStr"/>
    </row>
    <row r="942" ht="15" customHeight="1">
      <c r="A942" t="inlineStr">
        <is>
          <t>A 5640-2023</t>
        </is>
      </c>
      <c r="B942" s="1" t="n">
        <v>44960</v>
      </c>
      <c r="C942" s="1" t="n">
        <v>45357</v>
      </c>
      <c r="D942" t="inlineStr">
        <is>
          <t>JÄMTLANDS LÄN</t>
        </is>
      </c>
      <c r="E942" t="inlineStr">
        <is>
          <t>HÄRJEDALEN</t>
        </is>
      </c>
      <c r="G942" t="n">
        <v>8.4</v>
      </c>
      <c r="H942" t="n">
        <v>0</v>
      </c>
      <c r="I942" t="n">
        <v>0</v>
      </c>
      <c r="J942" t="n">
        <v>0</v>
      </c>
      <c r="K942" t="n">
        <v>0</v>
      </c>
      <c r="L942" t="n">
        <v>0</v>
      </c>
      <c r="M942" t="n">
        <v>0</v>
      </c>
      <c r="N942" t="n">
        <v>0</v>
      </c>
      <c r="O942" t="n">
        <v>0</v>
      </c>
      <c r="P942" t="n">
        <v>0</v>
      </c>
      <c r="Q942" t="n">
        <v>0</v>
      </c>
      <c r="R942" s="2" t="inlineStr"/>
    </row>
    <row r="943" ht="15" customHeight="1">
      <c r="A943" t="inlineStr">
        <is>
          <t>A 6001-2023</t>
        </is>
      </c>
      <c r="B943" s="1" t="n">
        <v>44964</v>
      </c>
      <c r="C943" s="1" t="n">
        <v>45357</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6124-2023</t>
        </is>
      </c>
      <c r="B944" s="1" t="n">
        <v>44964</v>
      </c>
      <c r="C944" s="1" t="n">
        <v>45357</v>
      </c>
      <c r="D944" t="inlineStr">
        <is>
          <t>JÄMTLANDS LÄN</t>
        </is>
      </c>
      <c r="E944" t="inlineStr">
        <is>
          <t>HÄRJEDALEN</t>
        </is>
      </c>
      <c r="G944" t="n">
        <v>20</v>
      </c>
      <c r="H944" t="n">
        <v>0</v>
      </c>
      <c r="I944" t="n">
        <v>0</v>
      </c>
      <c r="J944" t="n">
        <v>0</v>
      </c>
      <c r="K944" t="n">
        <v>0</v>
      </c>
      <c r="L944" t="n">
        <v>0</v>
      </c>
      <c r="M944" t="n">
        <v>0</v>
      </c>
      <c r="N944" t="n">
        <v>0</v>
      </c>
      <c r="O944" t="n">
        <v>0</v>
      </c>
      <c r="P944" t="n">
        <v>0</v>
      </c>
      <c r="Q944" t="n">
        <v>0</v>
      </c>
      <c r="R944" s="2" t="inlineStr"/>
    </row>
    <row r="945" ht="15" customHeight="1">
      <c r="A945" t="inlineStr">
        <is>
          <t>A 7636-2023</t>
        </is>
      </c>
      <c r="B945" s="1" t="n">
        <v>44972</v>
      </c>
      <c r="C945" s="1" t="n">
        <v>45357</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8365-2023</t>
        </is>
      </c>
      <c r="B946" s="1" t="n">
        <v>44977</v>
      </c>
      <c r="C946" s="1" t="n">
        <v>45357</v>
      </c>
      <c r="D946" t="inlineStr">
        <is>
          <t>JÄMTLANDS LÄN</t>
        </is>
      </c>
      <c r="E946" t="inlineStr">
        <is>
          <t>HÄRJEDALEN</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8420-2023</t>
        </is>
      </c>
      <c r="B947" s="1" t="n">
        <v>44977</v>
      </c>
      <c r="C947" s="1" t="n">
        <v>45357</v>
      </c>
      <c r="D947" t="inlineStr">
        <is>
          <t>JÄMTLANDS LÄN</t>
        </is>
      </c>
      <c r="E947" t="inlineStr">
        <is>
          <t>HÄRJEDALEN</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8577-2023</t>
        </is>
      </c>
      <c r="B948" s="1" t="n">
        <v>44977</v>
      </c>
      <c r="C948" s="1" t="n">
        <v>45357</v>
      </c>
      <c r="D948" t="inlineStr">
        <is>
          <t>JÄMTLANDS LÄN</t>
        </is>
      </c>
      <c r="E948" t="inlineStr">
        <is>
          <t>HÄRJEDALEN</t>
        </is>
      </c>
      <c r="G948" t="n">
        <v>19.6</v>
      </c>
      <c r="H948" t="n">
        <v>0</v>
      </c>
      <c r="I948" t="n">
        <v>0</v>
      </c>
      <c r="J948" t="n">
        <v>0</v>
      </c>
      <c r="K948" t="n">
        <v>0</v>
      </c>
      <c r="L948" t="n">
        <v>0</v>
      </c>
      <c r="M948" t="n">
        <v>0</v>
      </c>
      <c r="N948" t="n">
        <v>0</v>
      </c>
      <c r="O948" t="n">
        <v>0</v>
      </c>
      <c r="P948" t="n">
        <v>0</v>
      </c>
      <c r="Q948" t="n">
        <v>0</v>
      </c>
      <c r="R948" s="2" t="inlineStr"/>
    </row>
    <row r="949" ht="15" customHeight="1">
      <c r="A949" t="inlineStr">
        <is>
          <t>A 8804-2023</t>
        </is>
      </c>
      <c r="B949" s="1" t="n">
        <v>44978</v>
      </c>
      <c r="C949" s="1" t="n">
        <v>45357</v>
      </c>
      <c r="D949" t="inlineStr">
        <is>
          <t>JÄMTLANDS LÄN</t>
        </is>
      </c>
      <c r="E949" t="inlineStr">
        <is>
          <t>HÄRJEDALEN</t>
        </is>
      </c>
      <c r="G949" t="n">
        <v>14</v>
      </c>
      <c r="H949" t="n">
        <v>0</v>
      </c>
      <c r="I949" t="n">
        <v>0</v>
      </c>
      <c r="J949" t="n">
        <v>0</v>
      </c>
      <c r="K949" t="n">
        <v>0</v>
      </c>
      <c r="L949" t="n">
        <v>0</v>
      </c>
      <c r="M949" t="n">
        <v>0</v>
      </c>
      <c r="N949" t="n">
        <v>0</v>
      </c>
      <c r="O949" t="n">
        <v>0</v>
      </c>
      <c r="P949" t="n">
        <v>0</v>
      </c>
      <c r="Q949" t="n">
        <v>0</v>
      </c>
      <c r="R949" s="2" t="inlineStr"/>
    </row>
    <row r="950" ht="15" customHeight="1">
      <c r="A950" t="inlineStr">
        <is>
          <t>A 9188-2023</t>
        </is>
      </c>
      <c r="B950" s="1" t="n">
        <v>44980</v>
      </c>
      <c r="C950" s="1" t="n">
        <v>45357</v>
      </c>
      <c r="D950" t="inlineStr">
        <is>
          <t>JÄMTLANDS LÄN</t>
        </is>
      </c>
      <c r="E950" t="inlineStr">
        <is>
          <t>HÄRJEDALEN</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9998-2023</t>
        </is>
      </c>
      <c r="B951" s="1" t="n">
        <v>44985</v>
      </c>
      <c r="C951" s="1" t="n">
        <v>45357</v>
      </c>
      <c r="D951" t="inlineStr">
        <is>
          <t>JÄMTLANDS LÄN</t>
        </is>
      </c>
      <c r="E951" t="inlineStr">
        <is>
          <t>HÄRJEDALEN</t>
        </is>
      </c>
      <c r="F951" t="inlineStr">
        <is>
          <t>Holmen skog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10002-2023</t>
        </is>
      </c>
      <c r="B952" s="1" t="n">
        <v>44985</v>
      </c>
      <c r="C952" s="1" t="n">
        <v>45357</v>
      </c>
      <c r="D952" t="inlineStr">
        <is>
          <t>JÄMTLANDS LÄN</t>
        </is>
      </c>
      <c r="E952" t="inlineStr">
        <is>
          <t>HÄRJEDALEN</t>
        </is>
      </c>
      <c r="F952" t="inlineStr">
        <is>
          <t>Holmen skog AB</t>
        </is>
      </c>
      <c r="G952" t="n">
        <v>8.6</v>
      </c>
      <c r="H952" t="n">
        <v>0</v>
      </c>
      <c r="I952" t="n">
        <v>0</v>
      </c>
      <c r="J952" t="n">
        <v>0</v>
      </c>
      <c r="K952" t="n">
        <v>0</v>
      </c>
      <c r="L952" t="n">
        <v>0</v>
      </c>
      <c r="M952" t="n">
        <v>0</v>
      </c>
      <c r="N952" t="n">
        <v>0</v>
      </c>
      <c r="O952" t="n">
        <v>0</v>
      </c>
      <c r="P952" t="n">
        <v>0</v>
      </c>
      <c r="Q952" t="n">
        <v>0</v>
      </c>
      <c r="R952" s="2" t="inlineStr"/>
    </row>
    <row r="953" ht="15" customHeight="1">
      <c r="A953" t="inlineStr">
        <is>
          <t>A 10006-2023</t>
        </is>
      </c>
      <c r="B953" s="1" t="n">
        <v>44985</v>
      </c>
      <c r="C953" s="1" t="n">
        <v>45357</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10000-2023</t>
        </is>
      </c>
      <c r="B954" s="1" t="n">
        <v>44985</v>
      </c>
      <c r="C954" s="1" t="n">
        <v>45357</v>
      </c>
      <c r="D954" t="inlineStr">
        <is>
          <t>JÄMTLANDS LÄN</t>
        </is>
      </c>
      <c r="E954" t="inlineStr">
        <is>
          <t>HÄRJEDALEN</t>
        </is>
      </c>
      <c r="F954" t="inlineStr">
        <is>
          <t>Holmen skog AB</t>
        </is>
      </c>
      <c r="G954" t="n">
        <v>12.6</v>
      </c>
      <c r="H954" t="n">
        <v>0</v>
      </c>
      <c r="I954" t="n">
        <v>0</v>
      </c>
      <c r="J954" t="n">
        <v>0</v>
      </c>
      <c r="K954" t="n">
        <v>0</v>
      </c>
      <c r="L954" t="n">
        <v>0</v>
      </c>
      <c r="M954" t="n">
        <v>0</v>
      </c>
      <c r="N954" t="n">
        <v>0</v>
      </c>
      <c r="O954" t="n">
        <v>0</v>
      </c>
      <c r="P954" t="n">
        <v>0</v>
      </c>
      <c r="Q954" t="n">
        <v>0</v>
      </c>
      <c r="R954" s="2" t="inlineStr"/>
    </row>
    <row r="955" ht="15" customHeight="1">
      <c r="A955" t="inlineStr">
        <is>
          <t>A 9997-2023</t>
        </is>
      </c>
      <c r="B955" s="1" t="n">
        <v>44985</v>
      </c>
      <c r="C955" s="1" t="n">
        <v>45357</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10014-2023</t>
        </is>
      </c>
      <c r="B956" s="1" t="n">
        <v>44985</v>
      </c>
      <c r="C956" s="1" t="n">
        <v>45357</v>
      </c>
      <c r="D956" t="inlineStr">
        <is>
          <t>JÄMTLANDS LÄN</t>
        </is>
      </c>
      <c r="E956" t="inlineStr">
        <is>
          <t>HÄRJEDALEN</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10008-2023</t>
        </is>
      </c>
      <c r="B957" s="1" t="n">
        <v>44985</v>
      </c>
      <c r="C957" s="1" t="n">
        <v>45357</v>
      </c>
      <c r="D957" t="inlineStr">
        <is>
          <t>JÄMTLANDS LÄN</t>
        </is>
      </c>
      <c r="E957" t="inlineStr">
        <is>
          <t>HÄRJEDALEN</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10046-2023</t>
        </is>
      </c>
      <c r="B958" s="1" t="n">
        <v>44985</v>
      </c>
      <c r="C958" s="1" t="n">
        <v>45357</v>
      </c>
      <c r="D958" t="inlineStr">
        <is>
          <t>JÄMTLANDS LÄN</t>
        </is>
      </c>
      <c r="E958" t="inlineStr">
        <is>
          <t>HÄRJEDALEN</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10015-2023</t>
        </is>
      </c>
      <c r="B959" s="1" t="n">
        <v>44985</v>
      </c>
      <c r="C959" s="1" t="n">
        <v>45357</v>
      </c>
      <c r="D959" t="inlineStr">
        <is>
          <t>JÄMTLANDS LÄN</t>
        </is>
      </c>
      <c r="E959" t="inlineStr">
        <is>
          <t>HÄRJEDALEN</t>
        </is>
      </c>
      <c r="F959" t="inlineStr">
        <is>
          <t>Holmen skog AB</t>
        </is>
      </c>
      <c r="G959" t="n">
        <v>3.2</v>
      </c>
      <c r="H959" t="n">
        <v>0</v>
      </c>
      <c r="I959" t="n">
        <v>0</v>
      </c>
      <c r="J959" t="n">
        <v>0</v>
      </c>
      <c r="K959" t="n">
        <v>0</v>
      </c>
      <c r="L959" t="n">
        <v>0</v>
      </c>
      <c r="M959" t="n">
        <v>0</v>
      </c>
      <c r="N959" t="n">
        <v>0</v>
      </c>
      <c r="O959" t="n">
        <v>0</v>
      </c>
      <c r="P959" t="n">
        <v>0</v>
      </c>
      <c r="Q959" t="n">
        <v>0</v>
      </c>
      <c r="R959" s="2" t="inlineStr"/>
    </row>
    <row r="960" ht="15" customHeight="1">
      <c r="A960" t="inlineStr">
        <is>
          <t>A 10043-2023</t>
        </is>
      </c>
      <c r="B960" s="1" t="n">
        <v>44985</v>
      </c>
      <c r="C960" s="1" t="n">
        <v>45357</v>
      </c>
      <c r="D960" t="inlineStr">
        <is>
          <t>JÄMTLANDS LÄN</t>
        </is>
      </c>
      <c r="E960" t="inlineStr">
        <is>
          <t>HÄRJEDALEN</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9993-2023</t>
        </is>
      </c>
      <c r="B961" s="1" t="n">
        <v>44985</v>
      </c>
      <c r="C961" s="1" t="n">
        <v>45357</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10003-2023</t>
        </is>
      </c>
      <c r="B962" s="1" t="n">
        <v>44985</v>
      </c>
      <c r="C962" s="1" t="n">
        <v>45357</v>
      </c>
      <c r="D962" t="inlineStr">
        <is>
          <t>JÄMTLANDS LÄN</t>
        </is>
      </c>
      <c r="E962" t="inlineStr">
        <is>
          <t>HÄRJEDALEN</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10007-2023</t>
        </is>
      </c>
      <c r="B963" s="1" t="n">
        <v>44985</v>
      </c>
      <c r="C963" s="1" t="n">
        <v>45357</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10012-2023</t>
        </is>
      </c>
      <c r="B964" s="1" t="n">
        <v>44985</v>
      </c>
      <c r="C964" s="1" t="n">
        <v>45357</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10040-2023</t>
        </is>
      </c>
      <c r="B965" s="1" t="n">
        <v>44985</v>
      </c>
      <c r="C965" s="1" t="n">
        <v>45357</v>
      </c>
      <c r="D965" t="inlineStr">
        <is>
          <t>JÄMTLANDS LÄN</t>
        </is>
      </c>
      <c r="E965" t="inlineStr">
        <is>
          <t>HÄRJEDALEN</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10329-2023</t>
        </is>
      </c>
      <c r="B966" s="1" t="n">
        <v>44987</v>
      </c>
      <c r="C966" s="1" t="n">
        <v>45357</v>
      </c>
      <c r="D966" t="inlineStr">
        <is>
          <t>JÄMTLANDS LÄN</t>
        </is>
      </c>
      <c r="E966" t="inlineStr">
        <is>
          <t>HÄRJEDALEN</t>
        </is>
      </c>
      <c r="F966" t="inlineStr">
        <is>
          <t>Holmen skog AB</t>
        </is>
      </c>
      <c r="G966" t="n">
        <v>4.7</v>
      </c>
      <c r="H966" t="n">
        <v>0</v>
      </c>
      <c r="I966" t="n">
        <v>0</v>
      </c>
      <c r="J966" t="n">
        <v>0</v>
      </c>
      <c r="K966" t="n">
        <v>0</v>
      </c>
      <c r="L966" t="n">
        <v>0</v>
      </c>
      <c r="M966" t="n">
        <v>0</v>
      </c>
      <c r="N966" t="n">
        <v>0</v>
      </c>
      <c r="O966" t="n">
        <v>0</v>
      </c>
      <c r="P966" t="n">
        <v>0</v>
      </c>
      <c r="Q966" t="n">
        <v>0</v>
      </c>
      <c r="R966" s="2" t="inlineStr"/>
    </row>
    <row r="967" ht="15" customHeight="1">
      <c r="A967" t="inlineStr">
        <is>
          <t>A 10353-2023</t>
        </is>
      </c>
      <c r="B967" s="1" t="n">
        <v>44987</v>
      </c>
      <c r="C967" s="1" t="n">
        <v>45357</v>
      </c>
      <c r="D967" t="inlineStr">
        <is>
          <t>JÄMTLANDS LÄN</t>
        </is>
      </c>
      <c r="E967" t="inlineStr">
        <is>
          <t>HÄRJEDALEN</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10342-2023</t>
        </is>
      </c>
      <c r="B968" s="1" t="n">
        <v>44987</v>
      </c>
      <c r="C968" s="1" t="n">
        <v>45357</v>
      </c>
      <c r="D968" t="inlineStr">
        <is>
          <t>JÄMTLANDS LÄN</t>
        </is>
      </c>
      <c r="E968" t="inlineStr">
        <is>
          <t>HÄRJEDALEN</t>
        </is>
      </c>
      <c r="F968" t="inlineStr">
        <is>
          <t>Holmen skog AB</t>
        </is>
      </c>
      <c r="G968" t="n">
        <v>32.6</v>
      </c>
      <c r="H968" t="n">
        <v>0</v>
      </c>
      <c r="I968" t="n">
        <v>0</v>
      </c>
      <c r="J968" t="n">
        <v>0</v>
      </c>
      <c r="K968" t="n">
        <v>0</v>
      </c>
      <c r="L968" t="n">
        <v>0</v>
      </c>
      <c r="M968" t="n">
        <v>0</v>
      </c>
      <c r="N968" t="n">
        <v>0</v>
      </c>
      <c r="O968" t="n">
        <v>0</v>
      </c>
      <c r="P968" t="n">
        <v>0</v>
      </c>
      <c r="Q968" t="n">
        <v>0</v>
      </c>
      <c r="R968" s="2" t="inlineStr"/>
    </row>
    <row r="969" ht="15" customHeight="1">
      <c r="A969" t="inlineStr">
        <is>
          <t>A 10340-2023</t>
        </is>
      </c>
      <c r="B969" s="1" t="n">
        <v>44987</v>
      </c>
      <c r="C969" s="1" t="n">
        <v>45357</v>
      </c>
      <c r="D969" t="inlineStr">
        <is>
          <t>JÄMTLANDS LÄN</t>
        </is>
      </c>
      <c r="E969" t="inlineStr">
        <is>
          <t>HÄRJEDALEN</t>
        </is>
      </c>
      <c r="F969" t="inlineStr">
        <is>
          <t>Holmen skog AB</t>
        </is>
      </c>
      <c r="G969" t="n">
        <v>5.7</v>
      </c>
      <c r="H969" t="n">
        <v>0</v>
      </c>
      <c r="I969" t="n">
        <v>0</v>
      </c>
      <c r="J969" t="n">
        <v>0</v>
      </c>
      <c r="K969" t="n">
        <v>0</v>
      </c>
      <c r="L969" t="n">
        <v>0</v>
      </c>
      <c r="M969" t="n">
        <v>0</v>
      </c>
      <c r="N969" t="n">
        <v>0</v>
      </c>
      <c r="O969" t="n">
        <v>0</v>
      </c>
      <c r="P969" t="n">
        <v>0</v>
      </c>
      <c r="Q969" t="n">
        <v>0</v>
      </c>
      <c r="R969" s="2" t="inlineStr"/>
    </row>
    <row r="970" ht="15" customHeight="1">
      <c r="A970" t="inlineStr">
        <is>
          <t>A 10348-2023</t>
        </is>
      </c>
      <c r="B970" s="1" t="n">
        <v>44987</v>
      </c>
      <c r="C970" s="1" t="n">
        <v>45357</v>
      </c>
      <c r="D970" t="inlineStr">
        <is>
          <t>JÄMTLANDS LÄN</t>
        </is>
      </c>
      <c r="E970" t="inlineStr">
        <is>
          <t>HÄRJEDALEN</t>
        </is>
      </c>
      <c r="F970" t="inlineStr">
        <is>
          <t>Holmen skog AB</t>
        </is>
      </c>
      <c r="G970" t="n">
        <v>17.8</v>
      </c>
      <c r="H970" t="n">
        <v>0</v>
      </c>
      <c r="I970" t="n">
        <v>0</v>
      </c>
      <c r="J970" t="n">
        <v>0</v>
      </c>
      <c r="K970" t="n">
        <v>0</v>
      </c>
      <c r="L970" t="n">
        <v>0</v>
      </c>
      <c r="M970" t="n">
        <v>0</v>
      </c>
      <c r="N970" t="n">
        <v>0</v>
      </c>
      <c r="O970" t="n">
        <v>0</v>
      </c>
      <c r="P970" t="n">
        <v>0</v>
      </c>
      <c r="Q970" t="n">
        <v>0</v>
      </c>
      <c r="R970" s="2" t="inlineStr"/>
    </row>
    <row r="971" ht="15" customHeight="1">
      <c r="A971" t="inlineStr">
        <is>
          <t>A 10338-2023</t>
        </is>
      </c>
      <c r="B971" s="1" t="n">
        <v>44987</v>
      </c>
      <c r="C971" s="1" t="n">
        <v>45357</v>
      </c>
      <c r="D971" t="inlineStr">
        <is>
          <t>JÄMTLANDS LÄN</t>
        </is>
      </c>
      <c r="E971" t="inlineStr">
        <is>
          <t>HÄRJEDALEN</t>
        </is>
      </c>
      <c r="F971" t="inlineStr">
        <is>
          <t>Holmen skog AB</t>
        </is>
      </c>
      <c r="G971" t="n">
        <v>11.8</v>
      </c>
      <c r="H971" t="n">
        <v>0</v>
      </c>
      <c r="I971" t="n">
        <v>0</v>
      </c>
      <c r="J971" t="n">
        <v>0</v>
      </c>
      <c r="K971" t="n">
        <v>0</v>
      </c>
      <c r="L971" t="n">
        <v>0</v>
      </c>
      <c r="M971" t="n">
        <v>0</v>
      </c>
      <c r="N971" t="n">
        <v>0</v>
      </c>
      <c r="O971" t="n">
        <v>0</v>
      </c>
      <c r="P971" t="n">
        <v>0</v>
      </c>
      <c r="Q971" t="n">
        <v>0</v>
      </c>
      <c r="R971" s="2" t="inlineStr"/>
    </row>
    <row r="972" ht="15" customHeight="1">
      <c r="A972" t="inlineStr">
        <is>
          <t>A 11448-2023</t>
        </is>
      </c>
      <c r="B972" s="1" t="n">
        <v>44993</v>
      </c>
      <c r="C972" s="1" t="n">
        <v>45357</v>
      </c>
      <c r="D972" t="inlineStr">
        <is>
          <t>JÄMTLANDS LÄN</t>
        </is>
      </c>
      <c r="E972" t="inlineStr">
        <is>
          <t>HÄRJEDALEN</t>
        </is>
      </c>
      <c r="G972" t="n">
        <v>12.1</v>
      </c>
      <c r="H972" t="n">
        <v>0</v>
      </c>
      <c r="I972" t="n">
        <v>0</v>
      </c>
      <c r="J972" t="n">
        <v>0</v>
      </c>
      <c r="K972" t="n">
        <v>0</v>
      </c>
      <c r="L972" t="n">
        <v>0</v>
      </c>
      <c r="M972" t="n">
        <v>0</v>
      </c>
      <c r="N972" t="n">
        <v>0</v>
      </c>
      <c r="O972" t="n">
        <v>0</v>
      </c>
      <c r="P972" t="n">
        <v>0</v>
      </c>
      <c r="Q972" t="n">
        <v>0</v>
      </c>
      <c r="R972" s="2" t="inlineStr"/>
    </row>
    <row r="973" ht="15" customHeight="1">
      <c r="A973" t="inlineStr">
        <is>
          <t>A 11818-2023</t>
        </is>
      </c>
      <c r="B973" s="1" t="n">
        <v>44994</v>
      </c>
      <c r="C973" s="1" t="n">
        <v>45357</v>
      </c>
      <c r="D973" t="inlineStr">
        <is>
          <t>JÄMTLANDS LÄN</t>
        </is>
      </c>
      <c r="E973" t="inlineStr">
        <is>
          <t>HÄRJEDALEN</t>
        </is>
      </c>
      <c r="G973" t="n">
        <v>8.9</v>
      </c>
      <c r="H973" t="n">
        <v>0</v>
      </c>
      <c r="I973" t="n">
        <v>0</v>
      </c>
      <c r="J973" t="n">
        <v>0</v>
      </c>
      <c r="K973" t="n">
        <v>0</v>
      </c>
      <c r="L973" t="n">
        <v>0</v>
      </c>
      <c r="M973" t="n">
        <v>0</v>
      </c>
      <c r="N973" t="n">
        <v>0</v>
      </c>
      <c r="O973" t="n">
        <v>0</v>
      </c>
      <c r="P973" t="n">
        <v>0</v>
      </c>
      <c r="Q973" t="n">
        <v>0</v>
      </c>
      <c r="R973" s="2" t="inlineStr"/>
    </row>
    <row r="974" ht="15" customHeight="1">
      <c r="A974" t="inlineStr">
        <is>
          <t>A 12484-2023</t>
        </is>
      </c>
      <c r="B974" s="1" t="n">
        <v>44998</v>
      </c>
      <c r="C974" s="1" t="n">
        <v>45357</v>
      </c>
      <c r="D974" t="inlineStr">
        <is>
          <t>JÄMTLANDS LÄN</t>
        </is>
      </c>
      <c r="E974" t="inlineStr">
        <is>
          <t>HÄRJEDALEN</t>
        </is>
      </c>
      <c r="G974" t="n">
        <v>43.1</v>
      </c>
      <c r="H974" t="n">
        <v>0</v>
      </c>
      <c r="I974" t="n">
        <v>0</v>
      </c>
      <c r="J974" t="n">
        <v>0</v>
      </c>
      <c r="K974" t="n">
        <v>0</v>
      </c>
      <c r="L974" t="n">
        <v>0</v>
      </c>
      <c r="M974" t="n">
        <v>0</v>
      </c>
      <c r="N974" t="n">
        <v>0</v>
      </c>
      <c r="O974" t="n">
        <v>0</v>
      </c>
      <c r="P974" t="n">
        <v>0</v>
      </c>
      <c r="Q974" t="n">
        <v>0</v>
      </c>
      <c r="R974" s="2" t="inlineStr"/>
    </row>
    <row r="975" ht="15" customHeight="1">
      <c r="A975" t="inlineStr">
        <is>
          <t>A 12462-2023</t>
        </is>
      </c>
      <c r="B975" s="1" t="n">
        <v>44999</v>
      </c>
      <c r="C975" s="1" t="n">
        <v>45357</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12625-2023</t>
        </is>
      </c>
      <c r="B976" s="1" t="n">
        <v>45000</v>
      </c>
      <c r="C976" s="1" t="n">
        <v>45357</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12921-2023</t>
        </is>
      </c>
      <c r="B977" s="1" t="n">
        <v>45001</v>
      </c>
      <c r="C977" s="1" t="n">
        <v>45357</v>
      </c>
      <c r="D977" t="inlineStr">
        <is>
          <t>JÄMTLANDS LÄN</t>
        </is>
      </c>
      <c r="E977" t="inlineStr">
        <is>
          <t>HÄRJEDALEN</t>
        </is>
      </c>
      <c r="G977" t="n">
        <v>13.9</v>
      </c>
      <c r="H977" t="n">
        <v>0</v>
      </c>
      <c r="I977" t="n">
        <v>0</v>
      </c>
      <c r="J977" t="n">
        <v>0</v>
      </c>
      <c r="K977" t="n">
        <v>0</v>
      </c>
      <c r="L977" t="n">
        <v>0</v>
      </c>
      <c r="M977" t="n">
        <v>0</v>
      </c>
      <c r="N977" t="n">
        <v>0</v>
      </c>
      <c r="O977" t="n">
        <v>0</v>
      </c>
      <c r="P977" t="n">
        <v>0</v>
      </c>
      <c r="Q977" t="n">
        <v>0</v>
      </c>
      <c r="R977" s="2" t="inlineStr"/>
    </row>
    <row r="978" ht="15" customHeight="1">
      <c r="A978" t="inlineStr">
        <is>
          <t>A 13774-2023</t>
        </is>
      </c>
      <c r="B978" s="1" t="n">
        <v>45007</v>
      </c>
      <c r="C978" s="1" t="n">
        <v>45357</v>
      </c>
      <c r="D978" t="inlineStr">
        <is>
          <t>JÄMTLANDS LÄN</t>
        </is>
      </c>
      <c r="E978" t="inlineStr">
        <is>
          <t>HÄRJEDALEN</t>
        </is>
      </c>
      <c r="G978" t="n">
        <v>0.7</v>
      </c>
      <c r="H978" t="n">
        <v>0</v>
      </c>
      <c r="I978" t="n">
        <v>0</v>
      </c>
      <c r="J978" t="n">
        <v>0</v>
      </c>
      <c r="K978" t="n">
        <v>0</v>
      </c>
      <c r="L978" t="n">
        <v>0</v>
      </c>
      <c r="M978" t="n">
        <v>0</v>
      </c>
      <c r="N978" t="n">
        <v>0</v>
      </c>
      <c r="O978" t="n">
        <v>0</v>
      </c>
      <c r="P978" t="n">
        <v>0</v>
      </c>
      <c r="Q978" t="n">
        <v>0</v>
      </c>
      <c r="R978" s="2" t="inlineStr"/>
    </row>
    <row r="979" ht="15" customHeight="1">
      <c r="A979" t="inlineStr">
        <is>
          <t>A 14631-2023</t>
        </is>
      </c>
      <c r="B979" s="1" t="n">
        <v>45012</v>
      </c>
      <c r="C979" s="1" t="n">
        <v>45357</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15511-2023</t>
        </is>
      </c>
      <c r="B980" s="1" t="n">
        <v>45020</v>
      </c>
      <c r="C980" s="1" t="n">
        <v>45357</v>
      </c>
      <c r="D980" t="inlineStr">
        <is>
          <t>JÄMTLANDS LÄN</t>
        </is>
      </c>
      <c r="E980" t="inlineStr">
        <is>
          <t>HÄRJEDALEN</t>
        </is>
      </c>
      <c r="G980" t="n">
        <v>14.6</v>
      </c>
      <c r="H980" t="n">
        <v>0</v>
      </c>
      <c r="I980" t="n">
        <v>0</v>
      </c>
      <c r="J980" t="n">
        <v>0</v>
      </c>
      <c r="K980" t="n">
        <v>0</v>
      </c>
      <c r="L980" t="n">
        <v>0</v>
      </c>
      <c r="M980" t="n">
        <v>0</v>
      </c>
      <c r="N980" t="n">
        <v>0</v>
      </c>
      <c r="O980" t="n">
        <v>0</v>
      </c>
      <c r="P980" t="n">
        <v>0</v>
      </c>
      <c r="Q980" t="n">
        <v>0</v>
      </c>
      <c r="R980" s="2" t="inlineStr"/>
    </row>
    <row r="981" ht="15" customHeight="1">
      <c r="A981" t="inlineStr">
        <is>
          <t>A 15747-2023</t>
        </is>
      </c>
      <c r="B981" s="1" t="n">
        <v>45020</v>
      </c>
      <c r="C981" s="1" t="n">
        <v>45357</v>
      </c>
      <c r="D981" t="inlineStr">
        <is>
          <t>JÄMTLANDS LÄN</t>
        </is>
      </c>
      <c r="E981" t="inlineStr">
        <is>
          <t>HÄRJEDALEN</t>
        </is>
      </c>
      <c r="G981" t="n">
        <v>0.1</v>
      </c>
      <c r="H981" t="n">
        <v>0</v>
      </c>
      <c r="I981" t="n">
        <v>0</v>
      </c>
      <c r="J981" t="n">
        <v>0</v>
      </c>
      <c r="K981" t="n">
        <v>0</v>
      </c>
      <c r="L981" t="n">
        <v>0</v>
      </c>
      <c r="M981" t="n">
        <v>0</v>
      </c>
      <c r="N981" t="n">
        <v>0</v>
      </c>
      <c r="O981" t="n">
        <v>0</v>
      </c>
      <c r="P981" t="n">
        <v>0</v>
      </c>
      <c r="Q981" t="n">
        <v>0</v>
      </c>
      <c r="R981" s="2" t="inlineStr"/>
    </row>
    <row r="982" ht="15" customHeight="1">
      <c r="A982" t="inlineStr">
        <is>
          <t>A 16115-2023</t>
        </is>
      </c>
      <c r="B982" s="1" t="n">
        <v>45027</v>
      </c>
      <c r="C982" s="1" t="n">
        <v>45357</v>
      </c>
      <c r="D982" t="inlineStr">
        <is>
          <t>JÄMTLANDS LÄN</t>
        </is>
      </c>
      <c r="E982" t="inlineStr">
        <is>
          <t>HÄRJEDALEN</t>
        </is>
      </c>
      <c r="G982" t="n">
        <v>26</v>
      </c>
      <c r="H982" t="n">
        <v>0</v>
      </c>
      <c r="I982" t="n">
        <v>0</v>
      </c>
      <c r="J982" t="n">
        <v>0</v>
      </c>
      <c r="K982" t="n">
        <v>0</v>
      </c>
      <c r="L982" t="n">
        <v>0</v>
      </c>
      <c r="M982" t="n">
        <v>0</v>
      </c>
      <c r="N982" t="n">
        <v>0</v>
      </c>
      <c r="O982" t="n">
        <v>0</v>
      </c>
      <c r="P982" t="n">
        <v>0</v>
      </c>
      <c r="Q982" t="n">
        <v>0</v>
      </c>
      <c r="R982" s="2" t="inlineStr"/>
    </row>
    <row r="983" ht="15" customHeight="1">
      <c r="A983" t="inlineStr">
        <is>
          <t>A 16468-2023</t>
        </is>
      </c>
      <c r="B983" s="1" t="n">
        <v>45029</v>
      </c>
      <c r="C983" s="1" t="n">
        <v>45357</v>
      </c>
      <c r="D983" t="inlineStr">
        <is>
          <t>JÄMTLANDS LÄN</t>
        </is>
      </c>
      <c r="E983" t="inlineStr">
        <is>
          <t>HÄRJEDALEN</t>
        </is>
      </c>
      <c r="G983" t="n">
        <v>6.7</v>
      </c>
      <c r="H983" t="n">
        <v>0</v>
      </c>
      <c r="I983" t="n">
        <v>0</v>
      </c>
      <c r="J983" t="n">
        <v>0</v>
      </c>
      <c r="K983" t="n">
        <v>0</v>
      </c>
      <c r="L983" t="n">
        <v>0</v>
      </c>
      <c r="M983" t="n">
        <v>0</v>
      </c>
      <c r="N983" t="n">
        <v>0</v>
      </c>
      <c r="O983" t="n">
        <v>0</v>
      </c>
      <c r="P983" t="n">
        <v>0</v>
      </c>
      <c r="Q983" t="n">
        <v>0</v>
      </c>
      <c r="R983" s="2" t="inlineStr"/>
    </row>
    <row r="984" ht="15" customHeight="1">
      <c r="A984" t="inlineStr">
        <is>
          <t>A 17121-2023</t>
        </is>
      </c>
      <c r="B984" s="1" t="n">
        <v>45034</v>
      </c>
      <c r="C984" s="1" t="n">
        <v>45357</v>
      </c>
      <c r="D984" t="inlineStr">
        <is>
          <t>JÄMTLANDS LÄN</t>
        </is>
      </c>
      <c r="E984" t="inlineStr">
        <is>
          <t>HÄRJEDALEN</t>
        </is>
      </c>
      <c r="G984" t="n">
        <v>6.4</v>
      </c>
      <c r="H984" t="n">
        <v>0</v>
      </c>
      <c r="I984" t="n">
        <v>0</v>
      </c>
      <c r="J984" t="n">
        <v>0</v>
      </c>
      <c r="K984" t="n">
        <v>0</v>
      </c>
      <c r="L984" t="n">
        <v>0</v>
      </c>
      <c r="M984" t="n">
        <v>0</v>
      </c>
      <c r="N984" t="n">
        <v>0</v>
      </c>
      <c r="O984" t="n">
        <v>0</v>
      </c>
      <c r="P984" t="n">
        <v>0</v>
      </c>
      <c r="Q984" t="n">
        <v>0</v>
      </c>
      <c r="R984" s="2" t="inlineStr"/>
    </row>
    <row r="985" ht="15" customHeight="1">
      <c r="A985" t="inlineStr">
        <is>
          <t>A 17105-2023</t>
        </is>
      </c>
      <c r="B985" s="1" t="n">
        <v>45034</v>
      </c>
      <c r="C985" s="1" t="n">
        <v>45357</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17122-2023</t>
        </is>
      </c>
      <c r="B986" s="1" t="n">
        <v>45034</v>
      </c>
      <c r="C986" s="1" t="n">
        <v>45357</v>
      </c>
      <c r="D986" t="inlineStr">
        <is>
          <t>JÄMTLANDS LÄN</t>
        </is>
      </c>
      <c r="E986" t="inlineStr">
        <is>
          <t>HÄRJEDALEN</t>
        </is>
      </c>
      <c r="G986" t="n">
        <v>3.8</v>
      </c>
      <c r="H986" t="n">
        <v>0</v>
      </c>
      <c r="I986" t="n">
        <v>0</v>
      </c>
      <c r="J986" t="n">
        <v>0</v>
      </c>
      <c r="K986" t="n">
        <v>0</v>
      </c>
      <c r="L986" t="n">
        <v>0</v>
      </c>
      <c r="M986" t="n">
        <v>0</v>
      </c>
      <c r="N986" t="n">
        <v>0</v>
      </c>
      <c r="O986" t="n">
        <v>0</v>
      </c>
      <c r="P986" t="n">
        <v>0</v>
      </c>
      <c r="Q986" t="n">
        <v>0</v>
      </c>
      <c r="R986" s="2" t="inlineStr"/>
    </row>
    <row r="987" ht="15" customHeight="1">
      <c r="A987" t="inlineStr">
        <is>
          <t>A 17153-2023</t>
        </is>
      </c>
      <c r="B987" s="1" t="n">
        <v>45034</v>
      </c>
      <c r="C987" s="1" t="n">
        <v>45357</v>
      </c>
      <c r="D987" t="inlineStr">
        <is>
          <t>JÄMTLANDS LÄN</t>
        </is>
      </c>
      <c r="E987" t="inlineStr">
        <is>
          <t>HÄRJEDALEN</t>
        </is>
      </c>
      <c r="G987" t="n">
        <v>5.6</v>
      </c>
      <c r="H987" t="n">
        <v>0</v>
      </c>
      <c r="I987" t="n">
        <v>0</v>
      </c>
      <c r="J987" t="n">
        <v>0</v>
      </c>
      <c r="K987" t="n">
        <v>0</v>
      </c>
      <c r="L987" t="n">
        <v>0</v>
      </c>
      <c r="M987" t="n">
        <v>0</v>
      </c>
      <c r="N987" t="n">
        <v>0</v>
      </c>
      <c r="O987" t="n">
        <v>0</v>
      </c>
      <c r="P987" t="n">
        <v>0</v>
      </c>
      <c r="Q987" t="n">
        <v>0</v>
      </c>
      <c r="R987" s="2" t="inlineStr"/>
    </row>
    <row r="988" ht="15" customHeight="1">
      <c r="A988" t="inlineStr">
        <is>
          <t>A 17118-2023</t>
        </is>
      </c>
      <c r="B988" s="1" t="n">
        <v>45034</v>
      </c>
      <c r="C988" s="1" t="n">
        <v>45357</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17238-2023</t>
        </is>
      </c>
      <c r="B989" s="1" t="n">
        <v>45035</v>
      </c>
      <c r="C989" s="1" t="n">
        <v>45357</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17246-2023</t>
        </is>
      </c>
      <c r="B990" s="1" t="n">
        <v>45035</v>
      </c>
      <c r="C990" s="1" t="n">
        <v>45357</v>
      </c>
      <c r="D990" t="inlineStr">
        <is>
          <t>JÄMTLANDS LÄN</t>
        </is>
      </c>
      <c r="E990" t="inlineStr">
        <is>
          <t>HÄRJEDALEN</t>
        </is>
      </c>
      <c r="G990" t="n">
        <v>2.4</v>
      </c>
      <c r="H990" t="n">
        <v>0</v>
      </c>
      <c r="I990" t="n">
        <v>0</v>
      </c>
      <c r="J990" t="n">
        <v>0</v>
      </c>
      <c r="K990" t="n">
        <v>0</v>
      </c>
      <c r="L990" t="n">
        <v>0</v>
      </c>
      <c r="M990" t="n">
        <v>0</v>
      </c>
      <c r="N990" t="n">
        <v>0</v>
      </c>
      <c r="O990" t="n">
        <v>0</v>
      </c>
      <c r="P990" t="n">
        <v>0</v>
      </c>
      <c r="Q990" t="n">
        <v>0</v>
      </c>
      <c r="R990" s="2" t="inlineStr"/>
    </row>
    <row r="991" ht="15" customHeight="1">
      <c r="A991" t="inlineStr">
        <is>
          <t>A 17232-2023</t>
        </is>
      </c>
      <c r="B991" s="1" t="n">
        <v>45035</v>
      </c>
      <c r="C991" s="1" t="n">
        <v>45357</v>
      </c>
      <c r="D991" t="inlineStr">
        <is>
          <t>JÄMTLANDS LÄN</t>
        </is>
      </c>
      <c r="E991" t="inlineStr">
        <is>
          <t>HÄRJEDALEN</t>
        </is>
      </c>
      <c r="G991" t="n">
        <v>6.9</v>
      </c>
      <c r="H991" t="n">
        <v>0</v>
      </c>
      <c r="I991" t="n">
        <v>0</v>
      </c>
      <c r="J991" t="n">
        <v>0</v>
      </c>
      <c r="K991" t="n">
        <v>0</v>
      </c>
      <c r="L991" t="n">
        <v>0</v>
      </c>
      <c r="M991" t="n">
        <v>0</v>
      </c>
      <c r="N991" t="n">
        <v>0</v>
      </c>
      <c r="O991" t="n">
        <v>0</v>
      </c>
      <c r="P991" t="n">
        <v>0</v>
      </c>
      <c r="Q991" t="n">
        <v>0</v>
      </c>
      <c r="R991" s="2" t="inlineStr"/>
    </row>
    <row r="992" ht="15" customHeight="1">
      <c r="A992" t="inlineStr">
        <is>
          <t>A 17368-2023</t>
        </is>
      </c>
      <c r="B992" s="1" t="n">
        <v>45035</v>
      </c>
      <c r="C992" s="1" t="n">
        <v>45357</v>
      </c>
      <c r="D992" t="inlineStr">
        <is>
          <t>JÄMTLANDS LÄN</t>
        </is>
      </c>
      <c r="E992" t="inlineStr">
        <is>
          <t>HÄRJEDALEN</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18334-2023</t>
        </is>
      </c>
      <c r="B993" s="1" t="n">
        <v>45041</v>
      </c>
      <c r="C993" s="1" t="n">
        <v>45357</v>
      </c>
      <c r="D993" t="inlineStr">
        <is>
          <t>JÄMTLANDS LÄN</t>
        </is>
      </c>
      <c r="E993" t="inlineStr">
        <is>
          <t>HÄRJEDALEN</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18258-2023</t>
        </is>
      </c>
      <c r="B994" s="1" t="n">
        <v>45041</v>
      </c>
      <c r="C994" s="1" t="n">
        <v>45357</v>
      </c>
      <c r="D994" t="inlineStr">
        <is>
          <t>JÄMTLANDS LÄN</t>
        </is>
      </c>
      <c r="E994" t="inlineStr">
        <is>
          <t>HÄRJEDALEN</t>
        </is>
      </c>
      <c r="F994" t="inlineStr">
        <is>
          <t>Bergvik skog väst AB</t>
        </is>
      </c>
      <c r="G994" t="n">
        <v>14.7</v>
      </c>
      <c r="H994" t="n">
        <v>0</v>
      </c>
      <c r="I994" t="n">
        <v>0</v>
      </c>
      <c r="J994" t="n">
        <v>0</v>
      </c>
      <c r="K994" t="n">
        <v>0</v>
      </c>
      <c r="L994" t="n">
        <v>0</v>
      </c>
      <c r="M994" t="n">
        <v>0</v>
      </c>
      <c r="N994" t="n">
        <v>0</v>
      </c>
      <c r="O994" t="n">
        <v>0</v>
      </c>
      <c r="P994" t="n">
        <v>0</v>
      </c>
      <c r="Q994" t="n">
        <v>0</v>
      </c>
      <c r="R994" s="2" t="inlineStr"/>
    </row>
    <row r="995" ht="15" customHeight="1">
      <c r="A995" t="inlineStr">
        <is>
          <t>A 18620-2023</t>
        </is>
      </c>
      <c r="B995" s="1" t="n">
        <v>45041</v>
      </c>
      <c r="C995" s="1" t="n">
        <v>45357</v>
      </c>
      <c r="D995" t="inlineStr">
        <is>
          <t>JÄMTLANDS LÄN</t>
        </is>
      </c>
      <c r="E995" t="inlineStr">
        <is>
          <t>HÄRJEDALEN</t>
        </is>
      </c>
      <c r="G995" t="n">
        <v>0.5</v>
      </c>
      <c r="H995" t="n">
        <v>0</v>
      </c>
      <c r="I995" t="n">
        <v>0</v>
      </c>
      <c r="J995" t="n">
        <v>0</v>
      </c>
      <c r="K995" t="n">
        <v>0</v>
      </c>
      <c r="L995" t="n">
        <v>0</v>
      </c>
      <c r="M995" t="n">
        <v>0</v>
      </c>
      <c r="N995" t="n">
        <v>0</v>
      </c>
      <c r="O995" t="n">
        <v>0</v>
      </c>
      <c r="P995" t="n">
        <v>0</v>
      </c>
      <c r="Q995" t="n">
        <v>0</v>
      </c>
      <c r="R995" s="2" t="inlineStr"/>
    </row>
    <row r="996" ht="15" customHeight="1">
      <c r="A996" t="inlineStr">
        <is>
          <t>A 18646-2023</t>
        </is>
      </c>
      <c r="B996" s="1" t="n">
        <v>45041</v>
      </c>
      <c r="C996" s="1" t="n">
        <v>45357</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18659-2023</t>
        </is>
      </c>
      <c r="B997" s="1" t="n">
        <v>45041</v>
      </c>
      <c r="C997" s="1" t="n">
        <v>45357</v>
      </c>
      <c r="D997" t="inlineStr">
        <is>
          <t>JÄMTLANDS LÄN</t>
        </is>
      </c>
      <c r="E997" t="inlineStr">
        <is>
          <t>HÄRJEDALEN</t>
        </is>
      </c>
      <c r="G997" t="n">
        <v>0.9</v>
      </c>
      <c r="H997" t="n">
        <v>0</v>
      </c>
      <c r="I997" t="n">
        <v>0</v>
      </c>
      <c r="J997" t="n">
        <v>0</v>
      </c>
      <c r="K997" t="n">
        <v>0</v>
      </c>
      <c r="L997" t="n">
        <v>0</v>
      </c>
      <c r="M997" t="n">
        <v>0</v>
      </c>
      <c r="N997" t="n">
        <v>0</v>
      </c>
      <c r="O997" t="n">
        <v>0</v>
      </c>
      <c r="P997" t="n">
        <v>0</v>
      </c>
      <c r="Q997" t="n">
        <v>0</v>
      </c>
      <c r="R997" s="2" t="inlineStr"/>
    </row>
    <row r="998" ht="15" customHeight="1">
      <c r="A998" t="inlineStr">
        <is>
          <t>A 18617-2023</t>
        </is>
      </c>
      <c r="B998" s="1" t="n">
        <v>45043</v>
      </c>
      <c r="C998" s="1" t="n">
        <v>45357</v>
      </c>
      <c r="D998" t="inlineStr">
        <is>
          <t>JÄMTLANDS LÄN</t>
        </is>
      </c>
      <c r="E998" t="inlineStr">
        <is>
          <t>HÄRJEDALEN</t>
        </is>
      </c>
      <c r="G998" t="n">
        <v>15.1</v>
      </c>
      <c r="H998" t="n">
        <v>0</v>
      </c>
      <c r="I998" t="n">
        <v>0</v>
      </c>
      <c r="J998" t="n">
        <v>0</v>
      </c>
      <c r="K998" t="n">
        <v>0</v>
      </c>
      <c r="L998" t="n">
        <v>0</v>
      </c>
      <c r="M998" t="n">
        <v>0</v>
      </c>
      <c r="N998" t="n">
        <v>0</v>
      </c>
      <c r="O998" t="n">
        <v>0</v>
      </c>
      <c r="P998" t="n">
        <v>0</v>
      </c>
      <c r="Q998" t="n">
        <v>0</v>
      </c>
      <c r="R998" s="2" t="inlineStr"/>
    </row>
    <row r="999" ht="15" customHeight="1">
      <c r="A999" t="inlineStr">
        <is>
          <t>A 18875-2023</t>
        </is>
      </c>
      <c r="B999" s="1" t="n">
        <v>45044</v>
      </c>
      <c r="C999" s="1" t="n">
        <v>45357</v>
      </c>
      <c r="D999" t="inlineStr">
        <is>
          <t>JÄMTLANDS LÄN</t>
        </is>
      </c>
      <c r="E999" t="inlineStr">
        <is>
          <t>HÄRJEDALEN</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19353-2023</t>
        </is>
      </c>
      <c r="B1000" s="1" t="n">
        <v>45049</v>
      </c>
      <c r="C1000" s="1" t="n">
        <v>45357</v>
      </c>
      <c r="D1000" t="inlineStr">
        <is>
          <t>JÄMTLANDS LÄN</t>
        </is>
      </c>
      <c r="E1000" t="inlineStr">
        <is>
          <t>HÄRJEDALEN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19337-2023</t>
        </is>
      </c>
      <c r="B1001" s="1" t="n">
        <v>45049</v>
      </c>
      <c r="C1001" s="1" t="n">
        <v>45357</v>
      </c>
      <c r="D1001" t="inlineStr">
        <is>
          <t>JÄMTLANDS LÄN</t>
        </is>
      </c>
      <c r="E1001" t="inlineStr">
        <is>
          <t>HÄRJEDALEN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19730-2023</t>
        </is>
      </c>
      <c r="B1002" s="1" t="n">
        <v>45050</v>
      </c>
      <c r="C1002" s="1" t="n">
        <v>45357</v>
      </c>
      <c r="D1002" t="inlineStr">
        <is>
          <t>JÄMTLANDS LÄN</t>
        </is>
      </c>
      <c r="E1002" t="inlineStr">
        <is>
          <t>HÄRJEDALEN</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19915-2023</t>
        </is>
      </c>
      <c r="B1003" s="1" t="n">
        <v>45054</v>
      </c>
      <c r="C1003" s="1" t="n">
        <v>45357</v>
      </c>
      <c r="D1003" t="inlineStr">
        <is>
          <t>JÄMTLANDS LÄN</t>
        </is>
      </c>
      <c r="E1003" t="inlineStr">
        <is>
          <t>HÄRJEDALEN</t>
        </is>
      </c>
      <c r="F1003" t="inlineStr">
        <is>
          <t>Sveaskog</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19981-2023</t>
        </is>
      </c>
      <c r="B1004" s="1" t="n">
        <v>45054</v>
      </c>
      <c r="C1004" s="1" t="n">
        <v>45357</v>
      </c>
      <c r="D1004" t="inlineStr">
        <is>
          <t>JÄMTLANDS LÄN</t>
        </is>
      </c>
      <c r="E1004" t="inlineStr">
        <is>
          <t>HÄRJEDALEN</t>
        </is>
      </c>
      <c r="G1004" t="n">
        <v>13.5</v>
      </c>
      <c r="H1004" t="n">
        <v>0</v>
      </c>
      <c r="I1004" t="n">
        <v>0</v>
      </c>
      <c r="J1004" t="n">
        <v>0</v>
      </c>
      <c r="K1004" t="n">
        <v>0</v>
      </c>
      <c r="L1004" t="n">
        <v>0</v>
      </c>
      <c r="M1004" t="n">
        <v>0</v>
      </c>
      <c r="N1004" t="n">
        <v>0</v>
      </c>
      <c r="O1004" t="n">
        <v>0</v>
      </c>
      <c r="P1004" t="n">
        <v>0</v>
      </c>
      <c r="Q1004" t="n">
        <v>0</v>
      </c>
      <c r="R1004" s="2" t="inlineStr"/>
    </row>
    <row r="1005" ht="15" customHeight="1">
      <c r="A1005" t="inlineStr">
        <is>
          <t>A 20539-2023</t>
        </is>
      </c>
      <c r="B1005" s="1" t="n">
        <v>45055</v>
      </c>
      <c r="C1005" s="1" t="n">
        <v>45357</v>
      </c>
      <c r="D1005" t="inlineStr">
        <is>
          <t>JÄMTLANDS LÄN</t>
        </is>
      </c>
      <c r="E1005" t="inlineStr">
        <is>
          <t>HÄRJEDALEN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20851-2023</t>
        </is>
      </c>
      <c r="B1006" s="1" t="n">
        <v>45056</v>
      </c>
      <c r="C1006" s="1" t="n">
        <v>45357</v>
      </c>
      <c r="D1006" t="inlineStr">
        <is>
          <t>JÄMTLANDS LÄN</t>
        </is>
      </c>
      <c r="E1006" t="inlineStr">
        <is>
          <t>HÄRJEDALEN</t>
        </is>
      </c>
      <c r="F1006" t="inlineStr">
        <is>
          <t>Holmen skog AB</t>
        </is>
      </c>
      <c r="G1006" t="n">
        <v>41.1</v>
      </c>
      <c r="H1006" t="n">
        <v>0</v>
      </c>
      <c r="I1006" t="n">
        <v>0</v>
      </c>
      <c r="J1006" t="n">
        <v>0</v>
      </c>
      <c r="K1006" t="n">
        <v>0</v>
      </c>
      <c r="L1006" t="n">
        <v>0</v>
      </c>
      <c r="M1006" t="n">
        <v>0</v>
      </c>
      <c r="N1006" t="n">
        <v>0</v>
      </c>
      <c r="O1006" t="n">
        <v>0</v>
      </c>
      <c r="P1006" t="n">
        <v>0</v>
      </c>
      <c r="Q1006" t="n">
        <v>0</v>
      </c>
      <c r="R1006" s="2" t="inlineStr"/>
    </row>
    <row r="1007" ht="15" customHeight="1">
      <c r="A1007" t="inlineStr">
        <is>
          <t>A 20609-2023</t>
        </is>
      </c>
      <c r="B1007" s="1" t="n">
        <v>45057</v>
      </c>
      <c r="C1007" s="1" t="n">
        <v>45357</v>
      </c>
      <c r="D1007" t="inlineStr">
        <is>
          <t>JÄMTLANDS LÄN</t>
        </is>
      </c>
      <c r="E1007" t="inlineStr">
        <is>
          <t>HÄRJEDALEN</t>
        </is>
      </c>
      <c r="F1007" t="inlineStr">
        <is>
          <t>SCA</t>
        </is>
      </c>
      <c r="G1007" t="n">
        <v>15.6</v>
      </c>
      <c r="H1007" t="n">
        <v>0</v>
      </c>
      <c r="I1007" t="n">
        <v>0</v>
      </c>
      <c r="J1007" t="n">
        <v>0</v>
      </c>
      <c r="K1007" t="n">
        <v>0</v>
      </c>
      <c r="L1007" t="n">
        <v>0</v>
      </c>
      <c r="M1007" t="n">
        <v>0</v>
      </c>
      <c r="N1007" t="n">
        <v>0</v>
      </c>
      <c r="O1007" t="n">
        <v>0</v>
      </c>
      <c r="P1007" t="n">
        <v>0</v>
      </c>
      <c r="Q1007" t="n">
        <v>0</v>
      </c>
      <c r="R1007" s="2" t="inlineStr"/>
      <c r="U1007">
        <f>HYPERLINK("https://klasma.github.io/Logging_2361/knärot/A 20609-2023 karta knärot.png", "A 20609-2023")</f>
        <v/>
      </c>
      <c r="V1007">
        <f>HYPERLINK("https://klasma.github.io/Logging_2361/klagomål/A 20609-2023 FSC-klagomål.docx", "A 20609-2023")</f>
        <v/>
      </c>
      <c r="W1007">
        <f>HYPERLINK("https://klasma.github.io/Logging_2361/klagomålsmail/A 20609-2023 FSC-klagomål mail.docx", "A 20609-2023")</f>
        <v/>
      </c>
      <c r="X1007">
        <f>HYPERLINK("https://klasma.github.io/Logging_2361/tillsyn/A 20609-2023 tillsynsbegäran.docx", "A 20609-2023")</f>
        <v/>
      </c>
      <c r="Y1007">
        <f>HYPERLINK("https://klasma.github.io/Logging_2361/tillsynsmail/A 20609-2023 tillsynsbegäran mail.docx", "A 20609-2023")</f>
        <v/>
      </c>
    </row>
    <row r="1008" ht="15" customHeight="1">
      <c r="A1008" t="inlineStr">
        <is>
          <t>A 20768-2023</t>
        </is>
      </c>
      <c r="B1008" s="1" t="n">
        <v>45058</v>
      </c>
      <c r="C1008" s="1" t="n">
        <v>45357</v>
      </c>
      <c r="D1008" t="inlineStr">
        <is>
          <t>JÄMTLANDS LÄN</t>
        </is>
      </c>
      <c r="E1008" t="inlineStr">
        <is>
          <t>HÄRJEDALEN</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20718-2023</t>
        </is>
      </c>
      <c r="B1009" s="1" t="n">
        <v>45058</v>
      </c>
      <c r="C1009" s="1" t="n">
        <v>45357</v>
      </c>
      <c r="D1009" t="inlineStr">
        <is>
          <t>JÄMTLANDS LÄN</t>
        </is>
      </c>
      <c r="E1009" t="inlineStr">
        <is>
          <t>HÄRJEDALEN</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20935-2023</t>
        </is>
      </c>
      <c r="B1010" s="1" t="n">
        <v>45061</v>
      </c>
      <c r="C1010" s="1" t="n">
        <v>45357</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21050-2023</t>
        </is>
      </c>
      <c r="B1011" s="1" t="n">
        <v>45061</v>
      </c>
      <c r="C1011" s="1" t="n">
        <v>45357</v>
      </c>
      <c r="D1011" t="inlineStr">
        <is>
          <t>JÄMTLANDS LÄN</t>
        </is>
      </c>
      <c r="E1011" t="inlineStr">
        <is>
          <t>HÄRJEDALEN</t>
        </is>
      </c>
      <c r="F1011" t="inlineStr">
        <is>
          <t>Sveaskog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21054-2023</t>
        </is>
      </c>
      <c r="B1012" s="1" t="n">
        <v>45061</v>
      </c>
      <c r="C1012" s="1" t="n">
        <v>45357</v>
      </c>
      <c r="D1012" t="inlineStr">
        <is>
          <t>JÄMTLANDS LÄN</t>
        </is>
      </c>
      <c r="E1012" t="inlineStr">
        <is>
          <t>HÄRJEDALEN</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21517-2023</t>
        </is>
      </c>
      <c r="B1013" s="1" t="n">
        <v>45063</v>
      </c>
      <c r="C1013" s="1" t="n">
        <v>45357</v>
      </c>
      <c r="D1013" t="inlineStr">
        <is>
          <t>JÄMTLANDS LÄN</t>
        </is>
      </c>
      <c r="E1013" t="inlineStr">
        <is>
          <t>HÄRJEDALEN</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21531-2023</t>
        </is>
      </c>
      <c r="B1014" s="1" t="n">
        <v>45063</v>
      </c>
      <c r="C1014" s="1" t="n">
        <v>45357</v>
      </c>
      <c r="D1014" t="inlineStr">
        <is>
          <t>JÄMTLANDS LÄN</t>
        </is>
      </c>
      <c r="E1014" t="inlineStr">
        <is>
          <t>HÄRJEDALEN</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21439-2023</t>
        </is>
      </c>
      <c r="B1015" s="1" t="n">
        <v>45063</v>
      </c>
      <c r="C1015" s="1" t="n">
        <v>45357</v>
      </c>
      <c r="D1015" t="inlineStr">
        <is>
          <t>JÄMTLANDS LÄN</t>
        </is>
      </c>
      <c r="E1015" t="inlineStr">
        <is>
          <t>HÄRJEDALEN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21521-2023</t>
        </is>
      </c>
      <c r="B1016" s="1" t="n">
        <v>45063</v>
      </c>
      <c r="C1016" s="1" t="n">
        <v>45357</v>
      </c>
      <c r="D1016" t="inlineStr">
        <is>
          <t>JÄMTLANDS LÄN</t>
        </is>
      </c>
      <c r="E1016" t="inlineStr">
        <is>
          <t>HÄRJEDALEN</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21525-2023</t>
        </is>
      </c>
      <c r="B1017" s="1" t="n">
        <v>45063</v>
      </c>
      <c r="C1017" s="1" t="n">
        <v>45357</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21530-2023</t>
        </is>
      </c>
      <c r="B1018" s="1" t="n">
        <v>45063</v>
      </c>
      <c r="C1018" s="1" t="n">
        <v>45357</v>
      </c>
      <c r="D1018" t="inlineStr">
        <is>
          <t>JÄMTLANDS LÄN</t>
        </is>
      </c>
      <c r="E1018" t="inlineStr">
        <is>
          <t>HÄRJEDALEN</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21645-2023</t>
        </is>
      </c>
      <c r="B1019" s="1" t="n">
        <v>45063</v>
      </c>
      <c r="C1019" s="1" t="n">
        <v>45357</v>
      </c>
      <c r="D1019" t="inlineStr">
        <is>
          <t>JÄMTLANDS LÄN</t>
        </is>
      </c>
      <c r="E1019" t="inlineStr">
        <is>
          <t>HÄRJEDALEN</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21646-2023</t>
        </is>
      </c>
      <c r="B1020" s="1" t="n">
        <v>45063</v>
      </c>
      <c r="C1020" s="1" t="n">
        <v>45357</v>
      </c>
      <c r="D1020" t="inlineStr">
        <is>
          <t>JÄMTLANDS LÄN</t>
        </is>
      </c>
      <c r="E1020" t="inlineStr">
        <is>
          <t>HÄRJEDALEN</t>
        </is>
      </c>
      <c r="F1020" t="inlineStr">
        <is>
          <t>Sveaskog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21665-2023</t>
        </is>
      </c>
      <c r="B1021" s="1" t="n">
        <v>45063</v>
      </c>
      <c r="C1021" s="1" t="n">
        <v>45357</v>
      </c>
      <c r="D1021" t="inlineStr">
        <is>
          <t>JÄMTLANDS LÄN</t>
        </is>
      </c>
      <c r="E1021" t="inlineStr">
        <is>
          <t>HÄRJEDALEN</t>
        </is>
      </c>
      <c r="G1021" t="n">
        <v>19.3</v>
      </c>
      <c r="H1021" t="n">
        <v>0</v>
      </c>
      <c r="I1021" t="n">
        <v>0</v>
      </c>
      <c r="J1021" t="n">
        <v>0</v>
      </c>
      <c r="K1021" t="n">
        <v>0</v>
      </c>
      <c r="L1021" t="n">
        <v>0</v>
      </c>
      <c r="M1021" t="n">
        <v>0</v>
      </c>
      <c r="N1021" t="n">
        <v>0</v>
      </c>
      <c r="O1021" t="n">
        <v>0</v>
      </c>
      <c r="P1021" t="n">
        <v>0</v>
      </c>
      <c r="Q1021" t="n">
        <v>0</v>
      </c>
      <c r="R1021" s="2" t="inlineStr"/>
    </row>
    <row r="1022" ht="15" customHeight="1">
      <c r="A1022" t="inlineStr">
        <is>
          <t>A 21666-2023</t>
        </is>
      </c>
      <c r="B1022" s="1" t="n">
        <v>45064</v>
      </c>
      <c r="C1022" s="1" t="n">
        <v>45357</v>
      </c>
      <c r="D1022" t="inlineStr">
        <is>
          <t>JÄMTLANDS LÄN</t>
        </is>
      </c>
      <c r="E1022" t="inlineStr">
        <is>
          <t>HÄRJEDALEN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22674-2023</t>
        </is>
      </c>
      <c r="B1023" s="1" t="n">
        <v>45071</v>
      </c>
      <c r="C1023" s="1" t="n">
        <v>45357</v>
      </c>
      <c r="D1023" t="inlineStr">
        <is>
          <t>JÄMTLANDS LÄN</t>
        </is>
      </c>
      <c r="E1023" t="inlineStr">
        <is>
          <t>HÄRJEDALEN</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22728-2023</t>
        </is>
      </c>
      <c r="B1024" s="1" t="n">
        <v>45072</v>
      </c>
      <c r="C1024" s="1" t="n">
        <v>45357</v>
      </c>
      <c r="D1024" t="inlineStr">
        <is>
          <t>JÄMTLANDS LÄN</t>
        </is>
      </c>
      <c r="E1024" t="inlineStr">
        <is>
          <t>HÄRJEDALEN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22747-2023</t>
        </is>
      </c>
      <c r="B1025" s="1" t="n">
        <v>45071</v>
      </c>
      <c r="C1025" s="1" t="n">
        <v>45357</v>
      </c>
      <c r="D1025" t="inlineStr">
        <is>
          <t>JÄMTLANDS LÄN</t>
        </is>
      </c>
      <c r="E1025" t="inlineStr">
        <is>
          <t>HÄRJEDALEN</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22746-2023</t>
        </is>
      </c>
      <c r="B1026" s="1" t="n">
        <v>45071</v>
      </c>
      <c r="C1026" s="1" t="n">
        <v>45357</v>
      </c>
      <c r="D1026" t="inlineStr">
        <is>
          <t>JÄMTLANDS LÄN</t>
        </is>
      </c>
      <c r="E1026" t="inlineStr">
        <is>
          <t>HÄRJEDALEN</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22729-2023</t>
        </is>
      </c>
      <c r="B1027" s="1" t="n">
        <v>45072</v>
      </c>
      <c r="C1027" s="1" t="n">
        <v>45357</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23186-2023</t>
        </is>
      </c>
      <c r="B1028" s="1" t="n">
        <v>45075</v>
      </c>
      <c r="C1028" s="1" t="n">
        <v>45357</v>
      </c>
      <c r="D1028" t="inlineStr">
        <is>
          <t>JÄMTLANDS LÄN</t>
        </is>
      </c>
      <c r="E1028" t="inlineStr">
        <is>
          <t>HÄRJEDALEN</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23185-2023</t>
        </is>
      </c>
      <c r="B1029" s="1" t="n">
        <v>45075</v>
      </c>
      <c r="C1029" s="1" t="n">
        <v>45357</v>
      </c>
      <c r="D1029" t="inlineStr">
        <is>
          <t>JÄMTLANDS LÄN</t>
        </is>
      </c>
      <c r="E1029" t="inlineStr">
        <is>
          <t>HÄRJEDALEN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23356-2023</t>
        </is>
      </c>
      <c r="B1030" s="1" t="n">
        <v>45076</v>
      </c>
      <c r="C1030" s="1" t="n">
        <v>45357</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23465-2023</t>
        </is>
      </c>
      <c r="B1031" s="1" t="n">
        <v>45076</v>
      </c>
      <c r="C1031" s="1" t="n">
        <v>45357</v>
      </c>
      <c r="D1031" t="inlineStr">
        <is>
          <t>JÄMTLANDS LÄN</t>
        </is>
      </c>
      <c r="E1031" t="inlineStr">
        <is>
          <t>HÄRJEDALEN</t>
        </is>
      </c>
      <c r="G1031" t="n">
        <v>14.1</v>
      </c>
      <c r="H1031" t="n">
        <v>0</v>
      </c>
      <c r="I1031" t="n">
        <v>0</v>
      </c>
      <c r="J1031" t="n">
        <v>0</v>
      </c>
      <c r="K1031" t="n">
        <v>0</v>
      </c>
      <c r="L1031" t="n">
        <v>0</v>
      </c>
      <c r="M1031" t="n">
        <v>0</v>
      </c>
      <c r="N1031" t="n">
        <v>0</v>
      </c>
      <c r="O1031" t="n">
        <v>0</v>
      </c>
      <c r="P1031" t="n">
        <v>0</v>
      </c>
      <c r="Q1031" t="n">
        <v>0</v>
      </c>
      <c r="R1031" s="2" t="inlineStr"/>
    </row>
    <row r="1032" ht="15" customHeight="1">
      <c r="A1032" t="inlineStr">
        <is>
          <t>A 23895-2023</t>
        </is>
      </c>
      <c r="B1032" s="1" t="n">
        <v>45078</v>
      </c>
      <c r="C1032" s="1" t="n">
        <v>45357</v>
      </c>
      <c r="D1032" t="inlineStr">
        <is>
          <t>JÄMTLANDS LÄN</t>
        </is>
      </c>
      <c r="E1032" t="inlineStr">
        <is>
          <t>HÄRJEDALEN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23908-2023</t>
        </is>
      </c>
      <c r="B1033" s="1" t="n">
        <v>45078</v>
      </c>
      <c r="C1033" s="1" t="n">
        <v>45357</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24240-2023</t>
        </is>
      </c>
      <c r="B1034" s="1" t="n">
        <v>45079</v>
      </c>
      <c r="C1034" s="1" t="n">
        <v>45357</v>
      </c>
      <c r="D1034" t="inlineStr">
        <is>
          <t>JÄMTLANDS LÄN</t>
        </is>
      </c>
      <c r="E1034" t="inlineStr">
        <is>
          <t>HÄRJEDALEN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24238-2023</t>
        </is>
      </c>
      <c r="B1035" s="1" t="n">
        <v>45079</v>
      </c>
      <c r="C1035" s="1" t="n">
        <v>45357</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24255-2023</t>
        </is>
      </c>
      <c r="B1036" s="1" t="n">
        <v>45079</v>
      </c>
      <c r="C1036" s="1" t="n">
        <v>45357</v>
      </c>
      <c r="D1036" t="inlineStr">
        <is>
          <t>JÄMTLANDS LÄN</t>
        </is>
      </c>
      <c r="E1036" t="inlineStr">
        <is>
          <t>HÄRJEDALEN</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24220-2023</t>
        </is>
      </c>
      <c r="B1037" s="1" t="n">
        <v>45079</v>
      </c>
      <c r="C1037" s="1" t="n">
        <v>45357</v>
      </c>
      <c r="D1037" t="inlineStr">
        <is>
          <t>JÄMTLANDS LÄN</t>
        </is>
      </c>
      <c r="E1037" t="inlineStr">
        <is>
          <t>HÄRJEDALEN</t>
        </is>
      </c>
      <c r="F1037" t="inlineStr">
        <is>
          <t>Bergvik skog väst AB</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25536-2023</t>
        </is>
      </c>
      <c r="B1038" s="1" t="n">
        <v>45082</v>
      </c>
      <c r="C1038" s="1" t="n">
        <v>45357</v>
      </c>
      <c r="D1038" t="inlineStr">
        <is>
          <t>JÄMTLANDS LÄN</t>
        </is>
      </c>
      <c r="E1038" t="inlineStr">
        <is>
          <t>HÄRJEDALEN</t>
        </is>
      </c>
      <c r="F1038" t="inlineStr">
        <is>
          <t>Bergvik skog väst AB</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25526-2023</t>
        </is>
      </c>
      <c r="B1039" s="1" t="n">
        <v>45082</v>
      </c>
      <c r="C1039" s="1" t="n">
        <v>45357</v>
      </c>
      <c r="D1039" t="inlineStr">
        <is>
          <t>JÄMTLANDS LÄN</t>
        </is>
      </c>
      <c r="E1039" t="inlineStr">
        <is>
          <t>HÄRJEDALEN</t>
        </is>
      </c>
      <c r="F1039" t="inlineStr">
        <is>
          <t>Bergvik skog väst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25582-2023</t>
        </is>
      </c>
      <c r="B1040" s="1" t="n">
        <v>45082</v>
      </c>
      <c r="C1040" s="1" t="n">
        <v>45357</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24834-2023</t>
        </is>
      </c>
      <c r="B1041" s="1" t="n">
        <v>45084</v>
      </c>
      <c r="C1041" s="1" t="n">
        <v>45357</v>
      </c>
      <c r="D1041" t="inlineStr">
        <is>
          <t>JÄMTLANDS LÄN</t>
        </is>
      </c>
      <c r="E1041" t="inlineStr">
        <is>
          <t>HÄRJEDALEN</t>
        </is>
      </c>
      <c r="F1041" t="inlineStr">
        <is>
          <t>SCA</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24835-2023</t>
        </is>
      </c>
      <c r="B1042" s="1" t="n">
        <v>45084</v>
      </c>
      <c r="C1042" s="1" t="n">
        <v>45357</v>
      </c>
      <c r="D1042" t="inlineStr">
        <is>
          <t>JÄMTLANDS LÄN</t>
        </is>
      </c>
      <c r="E1042" t="inlineStr">
        <is>
          <t>HÄRJEDALEN</t>
        </is>
      </c>
      <c r="F1042" t="inlineStr">
        <is>
          <t>SCA</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25018-2023</t>
        </is>
      </c>
      <c r="B1043" s="1" t="n">
        <v>45085</v>
      </c>
      <c r="C1043" s="1" t="n">
        <v>45357</v>
      </c>
      <c r="D1043" t="inlineStr">
        <is>
          <t>JÄMTLANDS LÄN</t>
        </is>
      </c>
      <c r="E1043" t="inlineStr">
        <is>
          <t>HÄRJEDALEN</t>
        </is>
      </c>
      <c r="F1043" t="inlineStr">
        <is>
          <t>Sveaskog</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24964-2023</t>
        </is>
      </c>
      <c r="B1044" s="1" t="n">
        <v>45085</v>
      </c>
      <c r="C1044" s="1" t="n">
        <v>45357</v>
      </c>
      <c r="D1044" t="inlineStr">
        <is>
          <t>JÄMTLANDS LÄN</t>
        </is>
      </c>
      <c r="E1044" t="inlineStr">
        <is>
          <t>HÄRJEDALEN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25181-2023</t>
        </is>
      </c>
      <c r="B1045" s="1" t="n">
        <v>45086</v>
      </c>
      <c r="C1045" s="1" t="n">
        <v>45357</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25485-2023</t>
        </is>
      </c>
      <c r="B1046" s="1" t="n">
        <v>45089</v>
      </c>
      <c r="C1046" s="1" t="n">
        <v>45357</v>
      </c>
      <c r="D1046" t="inlineStr">
        <is>
          <t>JÄMTLANDS LÄN</t>
        </is>
      </c>
      <c r="E1046" t="inlineStr">
        <is>
          <t>HÄRJEDALEN</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26411-2023</t>
        </is>
      </c>
      <c r="B1047" s="1" t="n">
        <v>45092</v>
      </c>
      <c r="C1047" s="1" t="n">
        <v>45357</v>
      </c>
      <c r="D1047" t="inlineStr">
        <is>
          <t>JÄMTLANDS LÄN</t>
        </is>
      </c>
      <c r="E1047" t="inlineStr">
        <is>
          <t>HÄRJEDALEN</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26701-2023</t>
        </is>
      </c>
      <c r="B1048" s="1" t="n">
        <v>45093</v>
      </c>
      <c r="C1048" s="1" t="n">
        <v>45357</v>
      </c>
      <c r="D1048" t="inlineStr">
        <is>
          <t>JÄMTLANDS LÄN</t>
        </is>
      </c>
      <c r="E1048" t="inlineStr">
        <is>
          <t>HÄRJEDALEN</t>
        </is>
      </c>
      <c r="F1048" t="inlineStr">
        <is>
          <t>Bergvik skog väst AB</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26902-2023</t>
        </is>
      </c>
      <c r="B1049" s="1" t="n">
        <v>45093</v>
      </c>
      <c r="C1049" s="1" t="n">
        <v>45357</v>
      </c>
      <c r="D1049" t="inlineStr">
        <is>
          <t>JÄMTLANDS LÄN</t>
        </is>
      </c>
      <c r="E1049" t="inlineStr">
        <is>
          <t>HÄRJEDALEN</t>
        </is>
      </c>
      <c r="F1049" t="inlineStr">
        <is>
          <t>Bergvik skog väst AB</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26905-2023</t>
        </is>
      </c>
      <c r="B1050" s="1" t="n">
        <v>45093</v>
      </c>
      <c r="C1050" s="1" t="n">
        <v>45357</v>
      </c>
      <c r="D1050" t="inlineStr">
        <is>
          <t>JÄMTLANDS LÄN</t>
        </is>
      </c>
      <c r="E1050" t="inlineStr">
        <is>
          <t>HÄRJEDALEN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27136-2023</t>
        </is>
      </c>
      <c r="B1051" s="1" t="n">
        <v>45096</v>
      </c>
      <c r="C1051" s="1" t="n">
        <v>45357</v>
      </c>
      <c r="D1051" t="inlineStr">
        <is>
          <t>JÄMTLANDS LÄN</t>
        </is>
      </c>
      <c r="E1051" t="inlineStr">
        <is>
          <t>HÄRJEDALEN</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27261-2023</t>
        </is>
      </c>
      <c r="B1052" s="1" t="n">
        <v>45096</v>
      </c>
      <c r="C1052" s="1" t="n">
        <v>45357</v>
      </c>
      <c r="D1052" t="inlineStr">
        <is>
          <t>JÄMTLANDS LÄN</t>
        </is>
      </c>
      <c r="E1052" t="inlineStr">
        <is>
          <t>HÄRJEDALEN</t>
        </is>
      </c>
      <c r="F1052" t="inlineStr">
        <is>
          <t>Bergvik skog väst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45357</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27764-2023</t>
        </is>
      </c>
      <c r="B1054" s="1" t="n">
        <v>45098</v>
      </c>
      <c r="C1054" s="1" t="n">
        <v>45357</v>
      </c>
      <c r="D1054" t="inlineStr">
        <is>
          <t>JÄMTLANDS LÄN</t>
        </is>
      </c>
      <c r="E1054" t="inlineStr">
        <is>
          <t>HÄRJEDALEN</t>
        </is>
      </c>
      <c r="G1054" t="n">
        <v>66.40000000000001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27812-2023</t>
        </is>
      </c>
      <c r="B1055" s="1" t="n">
        <v>45098</v>
      </c>
      <c r="C1055" s="1" t="n">
        <v>45357</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27940-2023</t>
        </is>
      </c>
      <c r="B1056" s="1" t="n">
        <v>45098</v>
      </c>
      <c r="C1056" s="1" t="n">
        <v>45357</v>
      </c>
      <c r="D1056" t="inlineStr">
        <is>
          <t>JÄMTLANDS LÄN</t>
        </is>
      </c>
      <c r="E1056" t="inlineStr">
        <is>
          <t>HÄRJEDALEN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28078-2023</t>
        </is>
      </c>
      <c r="B1057" s="1" t="n">
        <v>45099</v>
      </c>
      <c r="C1057" s="1" t="n">
        <v>45357</v>
      </c>
      <c r="D1057" t="inlineStr">
        <is>
          <t>JÄMTLANDS LÄN</t>
        </is>
      </c>
      <c r="E1057" t="inlineStr">
        <is>
          <t>HÄRJEDALEN</t>
        </is>
      </c>
      <c r="F1057" t="inlineStr">
        <is>
          <t>Bergvik skog väst AB</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28059-2023</t>
        </is>
      </c>
      <c r="B1058" s="1" t="n">
        <v>45099</v>
      </c>
      <c r="C1058" s="1" t="n">
        <v>45357</v>
      </c>
      <c r="D1058" t="inlineStr">
        <is>
          <t>JÄMTLANDS LÄN</t>
        </is>
      </c>
      <c r="E1058" t="inlineStr">
        <is>
          <t>HÄRJEDALEN</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28209-2023</t>
        </is>
      </c>
      <c r="B1059" s="1" t="n">
        <v>45099</v>
      </c>
      <c r="C1059" s="1" t="n">
        <v>45357</v>
      </c>
      <c r="D1059" t="inlineStr">
        <is>
          <t>JÄMTLANDS LÄN</t>
        </is>
      </c>
      <c r="E1059" t="inlineStr">
        <is>
          <t>HÄRJEDALEN</t>
        </is>
      </c>
      <c r="F1059" t="inlineStr">
        <is>
          <t>Bergvik skog väst AB</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28802-2023</t>
        </is>
      </c>
      <c r="B1060" s="1" t="n">
        <v>45104</v>
      </c>
      <c r="C1060" s="1" t="n">
        <v>45357</v>
      </c>
      <c r="D1060" t="inlineStr">
        <is>
          <t>JÄMTLANDS LÄN</t>
        </is>
      </c>
      <c r="E1060" t="inlineStr">
        <is>
          <t>HÄRJEDALEN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29067-2023</t>
        </is>
      </c>
      <c r="B1061" s="1" t="n">
        <v>45104</v>
      </c>
      <c r="C1061" s="1" t="n">
        <v>45357</v>
      </c>
      <c r="D1061" t="inlineStr">
        <is>
          <t>JÄMTLANDS LÄN</t>
        </is>
      </c>
      <c r="E1061" t="inlineStr">
        <is>
          <t>HÄRJEDALEN</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29194-2023</t>
        </is>
      </c>
      <c r="B1062" s="1" t="n">
        <v>45105</v>
      </c>
      <c r="C1062" s="1" t="n">
        <v>45357</v>
      </c>
      <c r="D1062" t="inlineStr">
        <is>
          <t>JÄMTLANDS LÄN</t>
        </is>
      </c>
      <c r="E1062" t="inlineStr">
        <is>
          <t>HÄRJEDALEN</t>
        </is>
      </c>
      <c r="F1062" t="inlineStr">
        <is>
          <t>Bergvik skog väst AB</t>
        </is>
      </c>
      <c r="G1062" t="n">
        <v>21.4</v>
      </c>
      <c r="H1062" t="n">
        <v>0</v>
      </c>
      <c r="I1062" t="n">
        <v>0</v>
      </c>
      <c r="J1062" t="n">
        <v>0</v>
      </c>
      <c r="K1062" t="n">
        <v>0</v>
      </c>
      <c r="L1062" t="n">
        <v>0</v>
      </c>
      <c r="M1062" t="n">
        <v>0</v>
      </c>
      <c r="N1062" t="n">
        <v>0</v>
      </c>
      <c r="O1062" t="n">
        <v>0</v>
      </c>
      <c r="P1062" t="n">
        <v>0</v>
      </c>
      <c r="Q1062" t="n">
        <v>0</v>
      </c>
      <c r="R1062" s="2" t="inlineStr"/>
    </row>
    <row r="1063" ht="15" customHeight="1">
      <c r="A1063" t="inlineStr">
        <is>
          <t>A 29094-2023</t>
        </is>
      </c>
      <c r="B1063" s="1" t="n">
        <v>45105</v>
      </c>
      <c r="C1063" s="1" t="n">
        <v>45357</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29431-2023</t>
        </is>
      </c>
      <c r="B1064" s="1" t="n">
        <v>45106</v>
      </c>
      <c r="C1064" s="1" t="n">
        <v>45357</v>
      </c>
      <c r="D1064" t="inlineStr">
        <is>
          <t>JÄMTLANDS LÄN</t>
        </is>
      </c>
      <c r="E1064" t="inlineStr">
        <is>
          <t>HÄRJEDALEN</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29772-2023</t>
        </is>
      </c>
      <c r="B1065" s="1" t="n">
        <v>45107</v>
      </c>
      <c r="C1065" s="1" t="n">
        <v>45357</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30411-2023</t>
        </is>
      </c>
      <c r="B1066" s="1" t="n">
        <v>45111</v>
      </c>
      <c r="C1066" s="1" t="n">
        <v>45357</v>
      </c>
      <c r="D1066" t="inlineStr">
        <is>
          <t>JÄMTLANDS LÄN</t>
        </is>
      </c>
      <c r="E1066" t="inlineStr">
        <is>
          <t>HÄRJEDALEN</t>
        </is>
      </c>
      <c r="F1066" t="inlineStr">
        <is>
          <t>Bergvik skog väst AB</t>
        </is>
      </c>
      <c r="G1066" t="n">
        <v>28.3</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45357</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30751-2023</t>
        </is>
      </c>
      <c r="B1068" s="1" t="n">
        <v>45112</v>
      </c>
      <c r="C1068" s="1" t="n">
        <v>45357</v>
      </c>
      <c r="D1068" t="inlineStr">
        <is>
          <t>JÄMTLANDS LÄN</t>
        </is>
      </c>
      <c r="E1068" t="inlineStr">
        <is>
          <t>HÄRJEDALEN</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30709-2023</t>
        </is>
      </c>
      <c r="B1069" s="1" t="n">
        <v>45112</v>
      </c>
      <c r="C1069" s="1" t="n">
        <v>45357</v>
      </c>
      <c r="D1069" t="inlineStr">
        <is>
          <t>JÄMTLANDS LÄN</t>
        </is>
      </c>
      <c r="E1069" t="inlineStr">
        <is>
          <t>HÄRJEDALEN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30984-2023</t>
        </is>
      </c>
      <c r="B1070" s="1" t="n">
        <v>45113</v>
      </c>
      <c r="C1070" s="1" t="n">
        <v>45357</v>
      </c>
      <c r="D1070" t="inlineStr">
        <is>
          <t>JÄMTLANDS LÄN</t>
        </is>
      </c>
      <c r="E1070" t="inlineStr">
        <is>
          <t>HÄRJEDALEN</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31269-2023</t>
        </is>
      </c>
      <c r="B1071" s="1" t="n">
        <v>45114</v>
      </c>
      <c r="C1071" s="1" t="n">
        <v>45357</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31435-2023</t>
        </is>
      </c>
      <c r="B1072" s="1" t="n">
        <v>45114</v>
      </c>
      <c r="C1072" s="1" t="n">
        <v>45357</v>
      </c>
      <c r="D1072" t="inlineStr">
        <is>
          <t>JÄMTLANDS LÄN</t>
        </is>
      </c>
      <c r="E1072" t="inlineStr">
        <is>
          <t>HÄRJEDALEN</t>
        </is>
      </c>
      <c r="G1072" t="n">
        <v>20.9</v>
      </c>
      <c r="H1072" t="n">
        <v>0</v>
      </c>
      <c r="I1072" t="n">
        <v>0</v>
      </c>
      <c r="J1072" t="n">
        <v>0</v>
      </c>
      <c r="K1072" t="n">
        <v>0</v>
      </c>
      <c r="L1072" t="n">
        <v>0</v>
      </c>
      <c r="M1072" t="n">
        <v>0</v>
      </c>
      <c r="N1072" t="n">
        <v>0</v>
      </c>
      <c r="O1072" t="n">
        <v>0</v>
      </c>
      <c r="P1072" t="n">
        <v>0</v>
      </c>
      <c r="Q1072" t="n">
        <v>0</v>
      </c>
      <c r="R1072" s="2" t="inlineStr"/>
    </row>
    <row r="1073" ht="15" customHeight="1">
      <c r="A1073" t="inlineStr">
        <is>
          <t>A 31778-2023</t>
        </is>
      </c>
      <c r="B1073" s="1" t="n">
        <v>45118</v>
      </c>
      <c r="C1073" s="1" t="n">
        <v>45357</v>
      </c>
      <c r="D1073" t="inlineStr">
        <is>
          <t>JÄMTLANDS LÄN</t>
        </is>
      </c>
      <c r="E1073" t="inlineStr">
        <is>
          <t>HÄRJEDALEN</t>
        </is>
      </c>
      <c r="F1073" t="inlineStr">
        <is>
          <t>Bergvik skog väst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31811-2023</t>
        </is>
      </c>
      <c r="B1074" s="1" t="n">
        <v>45118</v>
      </c>
      <c r="C1074" s="1" t="n">
        <v>45357</v>
      </c>
      <c r="D1074" t="inlineStr">
        <is>
          <t>JÄMTLANDS LÄN</t>
        </is>
      </c>
      <c r="E1074" t="inlineStr">
        <is>
          <t>HÄRJEDALEN</t>
        </is>
      </c>
      <c r="F1074" t="inlineStr">
        <is>
          <t>Bergvik skog väst AB</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31910-2023</t>
        </is>
      </c>
      <c r="B1075" s="1" t="n">
        <v>45118</v>
      </c>
      <c r="C1075" s="1" t="n">
        <v>45357</v>
      </c>
      <c r="D1075" t="inlineStr">
        <is>
          <t>JÄMTLANDS LÄN</t>
        </is>
      </c>
      <c r="E1075" t="inlineStr">
        <is>
          <t>HÄRJEDALEN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31958-2023</t>
        </is>
      </c>
      <c r="B1076" s="1" t="n">
        <v>45119</v>
      </c>
      <c r="C1076" s="1" t="n">
        <v>45357</v>
      </c>
      <c r="D1076" t="inlineStr">
        <is>
          <t>JÄMTLANDS LÄN</t>
        </is>
      </c>
      <c r="E1076" t="inlineStr">
        <is>
          <t>HÄRJEDALEN</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31996-2023</t>
        </is>
      </c>
      <c r="B1077" s="1" t="n">
        <v>45119</v>
      </c>
      <c r="C1077" s="1" t="n">
        <v>45357</v>
      </c>
      <c r="D1077" t="inlineStr">
        <is>
          <t>JÄMTLANDS LÄN</t>
        </is>
      </c>
      <c r="E1077" t="inlineStr">
        <is>
          <t>HÄRJEDALEN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31960-2023</t>
        </is>
      </c>
      <c r="B1078" s="1" t="n">
        <v>45119</v>
      </c>
      <c r="C1078" s="1" t="n">
        <v>45357</v>
      </c>
      <c r="D1078" t="inlineStr">
        <is>
          <t>JÄMTLANDS LÄN</t>
        </is>
      </c>
      <c r="E1078" t="inlineStr">
        <is>
          <t>HÄRJEDALEN</t>
        </is>
      </c>
      <c r="F1078" t="inlineStr">
        <is>
          <t>Bergvik skog väst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31956-2023</t>
        </is>
      </c>
      <c r="B1079" s="1" t="n">
        <v>45119</v>
      </c>
      <c r="C1079" s="1" t="n">
        <v>45357</v>
      </c>
      <c r="D1079" t="inlineStr">
        <is>
          <t>JÄMTLANDS LÄN</t>
        </is>
      </c>
      <c r="E1079" t="inlineStr">
        <is>
          <t>HÄRJEDALEN</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31961-2023</t>
        </is>
      </c>
      <c r="B1080" s="1" t="n">
        <v>45119</v>
      </c>
      <c r="C1080" s="1" t="n">
        <v>45357</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33257-2023</t>
        </is>
      </c>
      <c r="B1081" s="1" t="n">
        <v>45127</v>
      </c>
      <c r="C1081" s="1" t="n">
        <v>45357</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33232-2023</t>
        </is>
      </c>
      <c r="B1082" s="1" t="n">
        <v>45127</v>
      </c>
      <c r="C1082" s="1" t="n">
        <v>45357</v>
      </c>
      <c r="D1082" t="inlineStr">
        <is>
          <t>JÄMTLANDS LÄN</t>
        </is>
      </c>
      <c r="E1082" t="inlineStr">
        <is>
          <t>HÄRJEDALEN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33992-2023</t>
        </is>
      </c>
      <c r="B1083" s="1" t="n">
        <v>45134</v>
      </c>
      <c r="C1083" s="1" t="n">
        <v>45357</v>
      </c>
      <c r="D1083" t="inlineStr">
        <is>
          <t>JÄMTLANDS LÄN</t>
        </is>
      </c>
      <c r="E1083" t="inlineStr">
        <is>
          <t>HÄRJEDALEN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34260-2023</t>
        </is>
      </c>
      <c r="B1084" s="1" t="n">
        <v>45138</v>
      </c>
      <c r="C1084" s="1" t="n">
        <v>45357</v>
      </c>
      <c r="D1084" t="inlineStr">
        <is>
          <t>JÄMTLANDS LÄN</t>
        </is>
      </c>
      <c r="E1084" t="inlineStr">
        <is>
          <t>HÄRJEDALEN</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34313-2023</t>
        </is>
      </c>
      <c r="B1085" s="1" t="n">
        <v>45139</v>
      </c>
      <c r="C1085" s="1" t="n">
        <v>45357</v>
      </c>
      <c r="D1085" t="inlineStr">
        <is>
          <t>JÄMTLANDS LÄN</t>
        </is>
      </c>
      <c r="E1085" t="inlineStr">
        <is>
          <t>HÄRJEDALEN</t>
        </is>
      </c>
      <c r="F1085" t="inlineStr">
        <is>
          <t>SCA</t>
        </is>
      </c>
      <c r="G1085" t="n">
        <v>31.6</v>
      </c>
      <c r="H1085" t="n">
        <v>0</v>
      </c>
      <c r="I1085" t="n">
        <v>0</v>
      </c>
      <c r="J1085" t="n">
        <v>0</v>
      </c>
      <c r="K1085" t="n">
        <v>0</v>
      </c>
      <c r="L1085" t="n">
        <v>0</v>
      </c>
      <c r="M1085" t="n">
        <v>0</v>
      </c>
      <c r="N1085" t="n">
        <v>0</v>
      </c>
      <c r="O1085" t="n">
        <v>0</v>
      </c>
      <c r="P1085" t="n">
        <v>0</v>
      </c>
      <c r="Q1085" t="n">
        <v>0</v>
      </c>
      <c r="R1085" s="2" t="inlineStr"/>
    </row>
    <row r="1086" ht="15" customHeight="1">
      <c r="A1086" t="inlineStr">
        <is>
          <t>A 34314-2023</t>
        </is>
      </c>
      <c r="B1086" s="1" t="n">
        <v>45138</v>
      </c>
      <c r="C1086" s="1" t="n">
        <v>45357</v>
      </c>
      <c r="D1086" t="inlineStr">
        <is>
          <t>JÄMTLANDS LÄN</t>
        </is>
      </c>
      <c r="E1086" t="inlineStr">
        <is>
          <t>HÄRJEDALEN</t>
        </is>
      </c>
      <c r="F1086" t="inlineStr">
        <is>
          <t>SCA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35396-2023</t>
        </is>
      </c>
      <c r="B1087" s="1" t="n">
        <v>45146</v>
      </c>
      <c r="C1087" s="1" t="n">
        <v>45357</v>
      </c>
      <c r="D1087" t="inlineStr">
        <is>
          <t>JÄMTLANDS LÄN</t>
        </is>
      </c>
      <c r="E1087" t="inlineStr">
        <is>
          <t>HÄRJEDALEN</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35813-2023</t>
        </is>
      </c>
      <c r="B1088" s="1" t="n">
        <v>45147</v>
      </c>
      <c r="C1088" s="1" t="n">
        <v>45357</v>
      </c>
      <c r="D1088" t="inlineStr">
        <is>
          <t>JÄMTLANDS LÄN</t>
        </is>
      </c>
      <c r="E1088" t="inlineStr">
        <is>
          <t>HÄRJEDALEN</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35891-2023</t>
        </is>
      </c>
      <c r="B1089" s="1" t="n">
        <v>45148</v>
      </c>
      <c r="C1089" s="1" t="n">
        <v>45357</v>
      </c>
      <c r="D1089" t="inlineStr">
        <is>
          <t>JÄMTLANDS LÄN</t>
        </is>
      </c>
      <c r="E1089" t="inlineStr">
        <is>
          <t>HÄRJEDALEN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36027-2023</t>
        </is>
      </c>
      <c r="B1090" s="1" t="n">
        <v>45149</v>
      </c>
      <c r="C1090" s="1" t="n">
        <v>45357</v>
      </c>
      <c r="D1090" t="inlineStr">
        <is>
          <t>JÄMTLANDS LÄN</t>
        </is>
      </c>
      <c r="E1090" t="inlineStr">
        <is>
          <t>HÄRJEDALEN</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36111-2023</t>
        </is>
      </c>
      <c r="B1091" s="1" t="n">
        <v>45149</v>
      </c>
      <c r="C1091" s="1" t="n">
        <v>45357</v>
      </c>
      <c r="D1091" t="inlineStr">
        <is>
          <t>JÄMTLANDS LÄN</t>
        </is>
      </c>
      <c r="E1091" t="inlineStr">
        <is>
          <t>HÄRJEDALEN</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36143-2023</t>
        </is>
      </c>
      <c r="B1092" s="1" t="n">
        <v>45149</v>
      </c>
      <c r="C1092" s="1" t="n">
        <v>45357</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36570-2023</t>
        </is>
      </c>
      <c r="B1093" s="1" t="n">
        <v>45153</v>
      </c>
      <c r="C1093" s="1" t="n">
        <v>45357</v>
      </c>
      <c r="D1093" t="inlineStr">
        <is>
          <t>JÄMTLANDS LÄN</t>
        </is>
      </c>
      <c r="E1093" t="inlineStr">
        <is>
          <t>HÄRJEDALEN</t>
        </is>
      </c>
      <c r="F1093" t="inlineStr">
        <is>
          <t>Bergvik skog väst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36565-2023</t>
        </is>
      </c>
      <c r="B1094" s="1" t="n">
        <v>45153</v>
      </c>
      <c r="C1094" s="1" t="n">
        <v>45357</v>
      </c>
      <c r="D1094" t="inlineStr">
        <is>
          <t>JÄMTLANDS LÄN</t>
        </is>
      </c>
      <c r="E1094" t="inlineStr">
        <is>
          <t>HÄRJEDALEN</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36568-2023</t>
        </is>
      </c>
      <c r="B1095" s="1" t="n">
        <v>45153</v>
      </c>
      <c r="C1095" s="1" t="n">
        <v>45357</v>
      </c>
      <c r="D1095" t="inlineStr">
        <is>
          <t>JÄMTLANDS LÄN</t>
        </is>
      </c>
      <c r="E1095" t="inlineStr">
        <is>
          <t>HÄRJEDALEN</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36651-2023</t>
        </is>
      </c>
      <c r="B1096" s="1" t="n">
        <v>45153</v>
      </c>
      <c r="C1096" s="1" t="n">
        <v>45357</v>
      </c>
      <c r="D1096" t="inlineStr">
        <is>
          <t>JÄMTLANDS LÄN</t>
        </is>
      </c>
      <c r="E1096" t="inlineStr">
        <is>
          <t>HÄRJEDALEN</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36720-2023</t>
        </is>
      </c>
      <c r="B1097" s="1" t="n">
        <v>45153</v>
      </c>
      <c r="C1097" s="1" t="n">
        <v>45357</v>
      </c>
      <c r="D1097" t="inlineStr">
        <is>
          <t>JÄMTLANDS LÄN</t>
        </is>
      </c>
      <c r="E1097" t="inlineStr">
        <is>
          <t>HÄRJEDALEN</t>
        </is>
      </c>
      <c r="F1097" t="inlineStr">
        <is>
          <t>Bergvik skog väst AB</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36677-2023</t>
        </is>
      </c>
      <c r="B1098" s="1" t="n">
        <v>45153</v>
      </c>
      <c r="C1098" s="1" t="n">
        <v>45357</v>
      </c>
      <c r="D1098" t="inlineStr">
        <is>
          <t>JÄMTLANDS LÄN</t>
        </is>
      </c>
      <c r="E1098" t="inlineStr">
        <is>
          <t>HÄRJEDALEN</t>
        </is>
      </c>
      <c r="F1098" t="inlineStr">
        <is>
          <t>Bergvik skog väst AB</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36921-2023</t>
        </is>
      </c>
      <c r="B1099" s="1" t="n">
        <v>45154</v>
      </c>
      <c r="C1099" s="1" t="n">
        <v>45357</v>
      </c>
      <c r="D1099" t="inlineStr">
        <is>
          <t>JÄMTLANDS LÄN</t>
        </is>
      </c>
      <c r="E1099" t="inlineStr">
        <is>
          <t>HÄRJEDALEN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36926-2023</t>
        </is>
      </c>
      <c r="B1100" s="1" t="n">
        <v>45154</v>
      </c>
      <c r="C1100" s="1" t="n">
        <v>45357</v>
      </c>
      <c r="D1100" t="inlineStr">
        <is>
          <t>JÄMTLANDS LÄN</t>
        </is>
      </c>
      <c r="E1100" t="inlineStr">
        <is>
          <t>HÄRJEDALEN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36930-2023</t>
        </is>
      </c>
      <c r="B1101" s="1" t="n">
        <v>45154</v>
      </c>
      <c r="C1101" s="1" t="n">
        <v>45357</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36946-2023</t>
        </is>
      </c>
      <c r="B1102" s="1" t="n">
        <v>45154</v>
      </c>
      <c r="C1102" s="1" t="n">
        <v>45357</v>
      </c>
      <c r="D1102" t="inlineStr">
        <is>
          <t>JÄMTLANDS LÄN</t>
        </is>
      </c>
      <c r="E1102" t="inlineStr">
        <is>
          <t>HÄRJEDALEN</t>
        </is>
      </c>
      <c r="F1102" t="inlineStr">
        <is>
          <t>Kyrkan</t>
        </is>
      </c>
      <c r="G1102" t="n">
        <v>43.1</v>
      </c>
      <c r="H1102" t="n">
        <v>0</v>
      </c>
      <c r="I1102" t="n">
        <v>0</v>
      </c>
      <c r="J1102" t="n">
        <v>0</v>
      </c>
      <c r="K1102" t="n">
        <v>0</v>
      </c>
      <c r="L1102" t="n">
        <v>0</v>
      </c>
      <c r="M1102" t="n">
        <v>0</v>
      </c>
      <c r="N1102" t="n">
        <v>0</v>
      </c>
      <c r="O1102" t="n">
        <v>0</v>
      </c>
      <c r="P1102" t="n">
        <v>0</v>
      </c>
      <c r="Q1102" t="n">
        <v>0</v>
      </c>
      <c r="R1102" s="2" t="inlineStr"/>
    </row>
    <row r="1103" ht="15" customHeight="1">
      <c r="A1103" t="inlineStr">
        <is>
          <t>A 36840-2023</t>
        </is>
      </c>
      <c r="B1103" s="1" t="n">
        <v>45154</v>
      </c>
      <c r="C1103" s="1" t="n">
        <v>45357</v>
      </c>
      <c r="D1103" t="inlineStr">
        <is>
          <t>JÄMTLANDS LÄN</t>
        </is>
      </c>
      <c r="E1103" t="inlineStr">
        <is>
          <t>HÄRJEDALEN</t>
        </is>
      </c>
      <c r="G1103" t="n">
        <v>2.8</v>
      </c>
      <c r="H1103" t="n">
        <v>0</v>
      </c>
      <c r="I1103" t="n">
        <v>0</v>
      </c>
      <c r="J1103" t="n">
        <v>0</v>
      </c>
      <c r="K1103" t="n">
        <v>0</v>
      </c>
      <c r="L1103" t="n">
        <v>0</v>
      </c>
      <c r="M1103" t="n">
        <v>0</v>
      </c>
      <c r="N1103" t="n">
        <v>0</v>
      </c>
      <c r="O1103" t="n">
        <v>0</v>
      </c>
      <c r="P1103" t="n">
        <v>0</v>
      </c>
      <c r="Q1103" t="n">
        <v>0</v>
      </c>
      <c r="R1103" s="2" t="inlineStr"/>
      <c r="U1103">
        <f>HYPERLINK("https://klasma.github.io/Logging_2361/knärot/A 36840-2023 karta knärot.png", "A 36840-2023")</f>
        <v/>
      </c>
      <c r="V1103">
        <f>HYPERLINK("https://klasma.github.io/Logging_2361/klagomål/A 36840-2023 FSC-klagomål.docx", "A 36840-2023")</f>
        <v/>
      </c>
      <c r="W1103">
        <f>HYPERLINK("https://klasma.github.io/Logging_2361/klagomålsmail/A 36840-2023 FSC-klagomål mail.docx", "A 36840-2023")</f>
        <v/>
      </c>
      <c r="X1103">
        <f>HYPERLINK("https://klasma.github.io/Logging_2361/tillsyn/A 36840-2023 tillsynsbegäran.docx", "A 36840-2023")</f>
        <v/>
      </c>
      <c r="Y1103">
        <f>HYPERLINK("https://klasma.github.io/Logging_2361/tillsynsmail/A 36840-2023 tillsynsbegäran mail.docx", "A 36840-2023")</f>
        <v/>
      </c>
    </row>
    <row r="1104" ht="15" customHeight="1">
      <c r="A1104" t="inlineStr">
        <is>
          <t>A 37054-2023</t>
        </is>
      </c>
      <c r="B1104" s="1" t="n">
        <v>45154</v>
      </c>
      <c r="C1104" s="1" t="n">
        <v>45357</v>
      </c>
      <c r="D1104" t="inlineStr">
        <is>
          <t>JÄMTLANDS LÄN</t>
        </is>
      </c>
      <c r="E1104" t="inlineStr">
        <is>
          <t>HÄRJEDALEN</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36931-2023</t>
        </is>
      </c>
      <c r="B1105" s="1" t="n">
        <v>45154</v>
      </c>
      <c r="C1105" s="1" t="n">
        <v>45357</v>
      </c>
      <c r="D1105" t="inlineStr">
        <is>
          <t>JÄMTLANDS LÄN</t>
        </is>
      </c>
      <c r="E1105" t="inlineStr">
        <is>
          <t>HÄRJEDALEN</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37315-2023</t>
        </is>
      </c>
      <c r="B1106" s="1" t="n">
        <v>45156</v>
      </c>
      <c r="C1106" s="1" t="n">
        <v>45357</v>
      </c>
      <c r="D1106" t="inlineStr">
        <is>
          <t>JÄMTLANDS LÄN</t>
        </is>
      </c>
      <c r="E1106" t="inlineStr">
        <is>
          <t>HÄRJEDALEN</t>
        </is>
      </c>
      <c r="F1106" t="inlineStr">
        <is>
          <t>Bergvik skog väst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37345-2023</t>
        </is>
      </c>
      <c r="B1107" s="1" t="n">
        <v>45156</v>
      </c>
      <c r="C1107" s="1" t="n">
        <v>45357</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37365-2023</t>
        </is>
      </c>
      <c r="B1108" s="1" t="n">
        <v>45156</v>
      </c>
      <c r="C1108" s="1" t="n">
        <v>45357</v>
      </c>
      <c r="D1108" t="inlineStr">
        <is>
          <t>JÄMTLANDS LÄN</t>
        </is>
      </c>
      <c r="E1108" t="inlineStr">
        <is>
          <t>HÄRJEDALEN</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37363-2023</t>
        </is>
      </c>
      <c r="B1109" s="1" t="n">
        <v>45156</v>
      </c>
      <c r="C1109" s="1" t="n">
        <v>45357</v>
      </c>
      <c r="D1109" t="inlineStr">
        <is>
          <t>JÄMTLANDS LÄN</t>
        </is>
      </c>
      <c r="E1109" t="inlineStr">
        <is>
          <t>HÄRJEDALEN</t>
        </is>
      </c>
      <c r="F1109" t="inlineStr">
        <is>
          <t>Bergvik skog väst AB</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37638-2023</t>
        </is>
      </c>
      <c r="B1110" s="1" t="n">
        <v>45159</v>
      </c>
      <c r="C1110" s="1" t="n">
        <v>45357</v>
      </c>
      <c r="D1110" t="inlineStr">
        <is>
          <t>JÄMTLANDS LÄN</t>
        </is>
      </c>
      <c r="E1110" t="inlineStr">
        <is>
          <t>HÄRJEDALEN</t>
        </is>
      </c>
      <c r="F1110" t="inlineStr">
        <is>
          <t>Bergvik skog väst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37764-2023</t>
        </is>
      </c>
      <c r="B1111" s="1" t="n">
        <v>45159</v>
      </c>
      <c r="C1111" s="1" t="n">
        <v>45357</v>
      </c>
      <c r="D1111" t="inlineStr">
        <is>
          <t>JÄMTLANDS LÄN</t>
        </is>
      </c>
      <c r="E1111" t="inlineStr">
        <is>
          <t>HÄRJEDALEN</t>
        </is>
      </c>
      <c r="F1111" t="inlineStr">
        <is>
          <t>Bergvik skog väst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37715-2023</t>
        </is>
      </c>
      <c r="B1112" s="1" t="n">
        <v>45159</v>
      </c>
      <c r="C1112" s="1" t="n">
        <v>45357</v>
      </c>
      <c r="D1112" t="inlineStr">
        <is>
          <t>JÄMTLANDS LÄN</t>
        </is>
      </c>
      <c r="E1112" t="inlineStr">
        <is>
          <t>HÄRJEDALEN</t>
        </is>
      </c>
      <c r="G1112" t="n">
        <v>23.3</v>
      </c>
      <c r="H1112" t="n">
        <v>0</v>
      </c>
      <c r="I1112" t="n">
        <v>0</v>
      </c>
      <c r="J1112" t="n">
        <v>0</v>
      </c>
      <c r="K1112" t="n">
        <v>0</v>
      </c>
      <c r="L1112" t="n">
        <v>0</v>
      </c>
      <c r="M1112" t="n">
        <v>0</v>
      </c>
      <c r="N1112" t="n">
        <v>0</v>
      </c>
      <c r="O1112" t="n">
        <v>0</v>
      </c>
      <c r="P1112" t="n">
        <v>0</v>
      </c>
      <c r="Q1112" t="n">
        <v>0</v>
      </c>
      <c r="R1112" s="2" t="inlineStr"/>
    </row>
    <row r="1113" ht="15" customHeight="1">
      <c r="A1113" t="inlineStr">
        <is>
          <t>A 37719-2023</t>
        </is>
      </c>
      <c r="B1113" s="1" t="n">
        <v>45159</v>
      </c>
      <c r="C1113" s="1" t="n">
        <v>45357</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37747-2023</t>
        </is>
      </c>
      <c r="B1114" s="1" t="n">
        <v>45159</v>
      </c>
      <c r="C1114" s="1" t="n">
        <v>45357</v>
      </c>
      <c r="D1114" t="inlineStr">
        <is>
          <t>JÄMTLANDS LÄN</t>
        </is>
      </c>
      <c r="E1114" t="inlineStr">
        <is>
          <t>HÄRJEDALEN</t>
        </is>
      </c>
      <c r="F1114" t="inlineStr">
        <is>
          <t>Bergvik skog väst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37762-2023</t>
        </is>
      </c>
      <c r="B1115" s="1" t="n">
        <v>45159</v>
      </c>
      <c r="C1115" s="1" t="n">
        <v>45357</v>
      </c>
      <c r="D1115" t="inlineStr">
        <is>
          <t>JÄMTLANDS LÄN</t>
        </is>
      </c>
      <c r="E1115" t="inlineStr">
        <is>
          <t>HÄRJEDALEN</t>
        </is>
      </c>
      <c r="F1115" t="inlineStr">
        <is>
          <t>Bergvik skog väst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38683-2023</t>
        </is>
      </c>
      <c r="B1116" s="1" t="n">
        <v>45162</v>
      </c>
      <c r="C1116" s="1" t="n">
        <v>45357</v>
      </c>
      <c r="D1116" t="inlineStr">
        <is>
          <t>JÄMTLANDS LÄN</t>
        </is>
      </c>
      <c r="E1116" t="inlineStr">
        <is>
          <t>HÄRJEDALEN</t>
        </is>
      </c>
      <c r="F1116" t="inlineStr">
        <is>
          <t>SCA</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38929-2023</t>
        </is>
      </c>
      <c r="B1117" s="1" t="n">
        <v>45163</v>
      </c>
      <c r="C1117" s="1" t="n">
        <v>45357</v>
      </c>
      <c r="D1117" t="inlineStr">
        <is>
          <t>JÄMTLANDS LÄN</t>
        </is>
      </c>
      <c r="E1117" t="inlineStr">
        <is>
          <t>HÄRJEDALEN</t>
        </is>
      </c>
      <c r="G1117" t="n">
        <v>23.1</v>
      </c>
      <c r="H1117" t="n">
        <v>0</v>
      </c>
      <c r="I1117" t="n">
        <v>0</v>
      </c>
      <c r="J1117" t="n">
        <v>0</v>
      </c>
      <c r="K1117" t="n">
        <v>0</v>
      </c>
      <c r="L1117" t="n">
        <v>0</v>
      </c>
      <c r="M1117" t="n">
        <v>0</v>
      </c>
      <c r="N1117" t="n">
        <v>0</v>
      </c>
      <c r="O1117" t="n">
        <v>0</v>
      </c>
      <c r="P1117" t="n">
        <v>0</v>
      </c>
      <c r="Q1117" t="n">
        <v>0</v>
      </c>
      <c r="R1117" s="2" t="inlineStr"/>
    </row>
    <row r="1118" ht="15" customHeight="1">
      <c r="A1118" t="inlineStr">
        <is>
          <t>A 39158-2023</t>
        </is>
      </c>
      <c r="B1118" s="1" t="n">
        <v>45166</v>
      </c>
      <c r="C1118" s="1" t="n">
        <v>45357</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39355-2023</t>
        </is>
      </c>
      <c r="B1119" s="1" t="n">
        <v>45166</v>
      </c>
      <c r="C1119" s="1" t="n">
        <v>45357</v>
      </c>
      <c r="D1119" t="inlineStr">
        <is>
          <t>JÄMTLANDS LÄN</t>
        </is>
      </c>
      <c r="E1119" t="inlineStr">
        <is>
          <t>HÄRJEDALEN</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39614-2023</t>
        </is>
      </c>
      <c r="B1120" s="1" t="n">
        <v>45167</v>
      </c>
      <c r="C1120" s="1" t="n">
        <v>45357</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39612-2023</t>
        </is>
      </c>
      <c r="B1121" s="1" t="n">
        <v>45167</v>
      </c>
      <c r="C1121" s="1" t="n">
        <v>45357</v>
      </c>
      <c r="D1121" t="inlineStr">
        <is>
          <t>JÄMTLANDS LÄN</t>
        </is>
      </c>
      <c r="E1121" t="inlineStr">
        <is>
          <t>HÄRJEDALEN</t>
        </is>
      </c>
      <c r="F1121" t="inlineStr">
        <is>
          <t>Bergvik skog väst AB</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39649-2023</t>
        </is>
      </c>
      <c r="B1122" s="1" t="n">
        <v>45167</v>
      </c>
      <c r="C1122" s="1" t="n">
        <v>45357</v>
      </c>
      <c r="D1122" t="inlineStr">
        <is>
          <t>JÄMTLANDS LÄN</t>
        </is>
      </c>
      <c r="E1122" t="inlineStr">
        <is>
          <t>HÄRJEDALEN</t>
        </is>
      </c>
      <c r="F1122" t="inlineStr">
        <is>
          <t>Bergvik skog väst AB</t>
        </is>
      </c>
      <c r="G1122" t="n">
        <v>23.6</v>
      </c>
      <c r="H1122" t="n">
        <v>0</v>
      </c>
      <c r="I1122" t="n">
        <v>0</v>
      </c>
      <c r="J1122" t="n">
        <v>0</v>
      </c>
      <c r="K1122" t="n">
        <v>0</v>
      </c>
      <c r="L1122" t="n">
        <v>0</v>
      </c>
      <c r="M1122" t="n">
        <v>0</v>
      </c>
      <c r="N1122" t="n">
        <v>0</v>
      </c>
      <c r="O1122" t="n">
        <v>0</v>
      </c>
      <c r="P1122" t="n">
        <v>0</v>
      </c>
      <c r="Q1122" t="n">
        <v>0</v>
      </c>
      <c r="R1122" s="2" t="inlineStr"/>
    </row>
    <row r="1123" ht="15" customHeight="1">
      <c r="A1123" t="inlineStr">
        <is>
          <t>A 40215-2023</t>
        </is>
      </c>
      <c r="B1123" s="1" t="n">
        <v>45169</v>
      </c>
      <c r="C1123" s="1" t="n">
        <v>45357</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40217-2023</t>
        </is>
      </c>
      <c r="B1124" s="1" t="n">
        <v>45169</v>
      </c>
      <c r="C1124" s="1" t="n">
        <v>45357</v>
      </c>
      <c r="D1124" t="inlineStr">
        <is>
          <t>JÄMTLANDS LÄN</t>
        </is>
      </c>
      <c r="E1124" t="inlineStr">
        <is>
          <t>HÄRJEDALEN</t>
        </is>
      </c>
      <c r="G1124" t="n">
        <v>23.5</v>
      </c>
      <c r="H1124" t="n">
        <v>0</v>
      </c>
      <c r="I1124" t="n">
        <v>0</v>
      </c>
      <c r="J1124" t="n">
        <v>0</v>
      </c>
      <c r="K1124" t="n">
        <v>0</v>
      </c>
      <c r="L1124" t="n">
        <v>0</v>
      </c>
      <c r="M1124" t="n">
        <v>0</v>
      </c>
      <c r="N1124" t="n">
        <v>0</v>
      </c>
      <c r="O1124" t="n">
        <v>0</v>
      </c>
      <c r="P1124" t="n">
        <v>0</v>
      </c>
      <c r="Q1124" t="n">
        <v>0</v>
      </c>
      <c r="R1124" s="2" t="inlineStr"/>
    </row>
    <row r="1125" ht="15" customHeight="1">
      <c r="A1125" t="inlineStr">
        <is>
          <t>A 40560-2023</t>
        </is>
      </c>
      <c r="B1125" s="1" t="n">
        <v>45170</v>
      </c>
      <c r="C1125" s="1" t="n">
        <v>45357</v>
      </c>
      <c r="D1125" t="inlineStr">
        <is>
          <t>JÄMTLANDS LÄN</t>
        </is>
      </c>
      <c r="E1125" t="inlineStr">
        <is>
          <t>HÄRJEDALEN</t>
        </is>
      </c>
      <c r="F1125" t="inlineStr">
        <is>
          <t>Holmen skog AB</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40569-2023</t>
        </is>
      </c>
      <c r="B1126" s="1" t="n">
        <v>45170</v>
      </c>
      <c r="C1126" s="1" t="n">
        <v>45357</v>
      </c>
      <c r="D1126" t="inlineStr">
        <is>
          <t>JÄMTLANDS LÄN</t>
        </is>
      </c>
      <c r="E1126" t="inlineStr">
        <is>
          <t>HÄRJEDALEN</t>
        </is>
      </c>
      <c r="F1126" t="inlineStr">
        <is>
          <t>Holmen skog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v>
      </c>
      <c r="C1127" s="1" t="n">
        <v>45357</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40664-2023</t>
        </is>
      </c>
      <c r="B1128" s="1" t="n">
        <v>45170</v>
      </c>
      <c r="C1128" s="1" t="n">
        <v>45357</v>
      </c>
      <c r="D1128" t="inlineStr">
        <is>
          <t>JÄMTLANDS LÄN</t>
        </is>
      </c>
      <c r="E1128" t="inlineStr">
        <is>
          <t>HÄRJEDALEN</t>
        </is>
      </c>
      <c r="G1128" t="n">
        <v>65.3</v>
      </c>
      <c r="H1128" t="n">
        <v>0</v>
      </c>
      <c r="I1128" t="n">
        <v>0</v>
      </c>
      <c r="J1128" t="n">
        <v>0</v>
      </c>
      <c r="K1128" t="n">
        <v>0</v>
      </c>
      <c r="L1128" t="n">
        <v>0</v>
      </c>
      <c r="M1128" t="n">
        <v>0</v>
      </c>
      <c r="N1128" t="n">
        <v>0</v>
      </c>
      <c r="O1128" t="n">
        <v>0</v>
      </c>
      <c r="P1128" t="n">
        <v>0</v>
      </c>
      <c r="Q1128" t="n">
        <v>0</v>
      </c>
      <c r="R1128" s="2" t="inlineStr"/>
    </row>
    <row r="1129" ht="15" customHeight="1">
      <c r="A1129" t="inlineStr">
        <is>
          <t>A 40567-2023</t>
        </is>
      </c>
      <c r="B1129" s="1" t="n">
        <v>45170</v>
      </c>
      <c r="C1129" s="1" t="n">
        <v>45357</v>
      </c>
      <c r="D1129" t="inlineStr">
        <is>
          <t>JÄMTLANDS LÄN</t>
        </is>
      </c>
      <c r="E1129" t="inlineStr">
        <is>
          <t>HÄRJEDALEN</t>
        </is>
      </c>
      <c r="F1129" t="inlineStr">
        <is>
          <t>Holmen skog AB</t>
        </is>
      </c>
      <c r="G1129" t="n">
        <v>19.4</v>
      </c>
      <c r="H1129" t="n">
        <v>0</v>
      </c>
      <c r="I1129" t="n">
        <v>0</v>
      </c>
      <c r="J1129" t="n">
        <v>0</v>
      </c>
      <c r="K1129" t="n">
        <v>0</v>
      </c>
      <c r="L1129" t="n">
        <v>0</v>
      </c>
      <c r="M1129" t="n">
        <v>0</v>
      </c>
      <c r="N1129" t="n">
        <v>0</v>
      </c>
      <c r="O1129" t="n">
        <v>0</v>
      </c>
      <c r="P1129" t="n">
        <v>0</v>
      </c>
      <c r="Q1129" t="n">
        <v>0</v>
      </c>
      <c r="R1129" s="2" t="inlineStr"/>
    </row>
    <row r="1130" ht="15" customHeight="1">
      <c r="A1130" t="inlineStr">
        <is>
          <t>A 40573-2023</t>
        </is>
      </c>
      <c r="B1130" s="1" t="n">
        <v>45170</v>
      </c>
      <c r="C1130" s="1" t="n">
        <v>45357</v>
      </c>
      <c r="D1130" t="inlineStr">
        <is>
          <t>JÄMTLANDS LÄN</t>
        </is>
      </c>
      <c r="E1130" t="inlineStr">
        <is>
          <t>HÄRJEDALEN</t>
        </is>
      </c>
      <c r="F1130" t="inlineStr">
        <is>
          <t>Holmen skog AB</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40900-2023</t>
        </is>
      </c>
      <c r="B1131" s="1" t="n">
        <v>45173</v>
      </c>
      <c r="C1131" s="1" t="n">
        <v>45357</v>
      </c>
      <c r="D1131" t="inlineStr">
        <is>
          <t>JÄMTLANDS LÄN</t>
        </is>
      </c>
      <c r="E1131" t="inlineStr">
        <is>
          <t>HÄRJEDALEN</t>
        </is>
      </c>
      <c r="F1131" t="inlineStr">
        <is>
          <t>Bergvik skog väst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40904-2023</t>
        </is>
      </c>
      <c r="B1132" s="1" t="n">
        <v>45173</v>
      </c>
      <c r="C1132" s="1" t="n">
        <v>45357</v>
      </c>
      <c r="D1132" t="inlineStr">
        <is>
          <t>JÄMTLANDS LÄN</t>
        </is>
      </c>
      <c r="E1132" t="inlineStr">
        <is>
          <t>HÄRJEDALEN</t>
        </is>
      </c>
      <c r="F1132" t="inlineStr">
        <is>
          <t>Bergvik skog väst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41058-2023</t>
        </is>
      </c>
      <c r="B1133" s="1" t="n">
        <v>45173</v>
      </c>
      <c r="C1133" s="1" t="n">
        <v>45357</v>
      </c>
      <c r="D1133" t="inlineStr">
        <is>
          <t>JÄMTLANDS LÄN</t>
        </is>
      </c>
      <c r="E1133" t="inlineStr">
        <is>
          <t>HÄRJEDALEN</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41094-2023</t>
        </is>
      </c>
      <c r="B1134" s="1" t="n">
        <v>45173</v>
      </c>
      <c r="C1134" s="1" t="n">
        <v>45357</v>
      </c>
      <c r="D1134" t="inlineStr">
        <is>
          <t>JÄMTLANDS LÄN</t>
        </is>
      </c>
      <c r="E1134" t="inlineStr">
        <is>
          <t>HÄRJEDALEN</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41955-2023</t>
        </is>
      </c>
      <c r="B1135" s="1" t="n">
        <v>45174</v>
      </c>
      <c r="C1135" s="1" t="n">
        <v>45357</v>
      </c>
      <c r="D1135" t="inlineStr">
        <is>
          <t>JÄMTLANDS LÄN</t>
        </is>
      </c>
      <c r="E1135" t="inlineStr">
        <is>
          <t>HÄRJEDALEN</t>
        </is>
      </c>
      <c r="G1135" t="n">
        <v>60.4</v>
      </c>
      <c r="H1135" t="n">
        <v>0</v>
      </c>
      <c r="I1135" t="n">
        <v>0</v>
      </c>
      <c r="J1135" t="n">
        <v>0</v>
      </c>
      <c r="K1135" t="n">
        <v>0</v>
      </c>
      <c r="L1135" t="n">
        <v>0</v>
      </c>
      <c r="M1135" t="n">
        <v>0</v>
      </c>
      <c r="N1135" t="n">
        <v>0</v>
      </c>
      <c r="O1135" t="n">
        <v>0</v>
      </c>
      <c r="P1135" t="n">
        <v>0</v>
      </c>
      <c r="Q1135" t="n">
        <v>0</v>
      </c>
      <c r="R1135" s="2" t="inlineStr"/>
    </row>
    <row r="1136" ht="15" customHeight="1">
      <c r="A1136" t="inlineStr">
        <is>
          <t>A 41555-2023</t>
        </is>
      </c>
      <c r="B1136" s="1" t="n">
        <v>45175</v>
      </c>
      <c r="C1136" s="1" t="n">
        <v>45357</v>
      </c>
      <c r="D1136" t="inlineStr">
        <is>
          <t>JÄMTLANDS LÄN</t>
        </is>
      </c>
      <c r="E1136" t="inlineStr">
        <is>
          <t>HÄRJEDALEN</t>
        </is>
      </c>
      <c r="F1136" t="inlineStr">
        <is>
          <t>Bergvik skog väst AB</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45357</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45357</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45357</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45357</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45357</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45357</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45357</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45357</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45357</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45357</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45357</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45357</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45357</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45357</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45357</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45357</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45357</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45357</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45357</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45357</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45357</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45357</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45357</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45357</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45357</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45357</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45357</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45357</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45357</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45357</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45357</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46633-2023</t>
        </is>
      </c>
      <c r="B1168" s="1" t="n">
        <v>45198</v>
      </c>
      <c r="C1168" s="1" t="n">
        <v>45357</v>
      </c>
      <c r="D1168" t="inlineStr">
        <is>
          <t>JÄMTLANDS LÄN</t>
        </is>
      </c>
      <c r="E1168" t="inlineStr">
        <is>
          <t>HÄRJEDALEN</t>
        </is>
      </c>
      <c r="F1168" t="inlineStr">
        <is>
          <t>Bergvik skog väst AB</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45357</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45357</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45357</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45357</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45357</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45357</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45357</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45357</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45357</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45357</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45357</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45357</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45357</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45357</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45357</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45357</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45357</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45357</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45357</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45357</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45357</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45357</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45357</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45357</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45357</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45357</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45357</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45357</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45357</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45357</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45357</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45357</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45357</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45357</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45357</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45357</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45357</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45357</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45357</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45357</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45357</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45357</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45357</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45357</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45357</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45357</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45357</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45357</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45357</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45357</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45357</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45357</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45357</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45357</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45357</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45357</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45357</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45357</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45357</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45357</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45357</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45357</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45357</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45357</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45357</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45357</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45357</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45357</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45357</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45357</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45357</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45357</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45357</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45357</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56483-2023</t>
        </is>
      </c>
      <c r="B1243" s="1" t="n">
        <v>45243</v>
      </c>
      <c r="C1243" s="1" t="n">
        <v>45357</v>
      </c>
      <c r="D1243" t="inlineStr">
        <is>
          <t>JÄMTLANDS LÄN</t>
        </is>
      </c>
      <c r="E1243" t="inlineStr">
        <is>
          <t>HÄRJEDALEN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56512-2023</t>
        </is>
      </c>
      <c r="B1244" s="1" t="n">
        <v>45243</v>
      </c>
      <c r="C1244" s="1" t="n">
        <v>45357</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56587-2023</t>
        </is>
      </c>
      <c r="B1245" s="1" t="n">
        <v>45243</v>
      </c>
      <c r="C1245" s="1" t="n">
        <v>45357</v>
      </c>
      <c r="D1245" t="inlineStr">
        <is>
          <t>JÄMTLANDS LÄN</t>
        </is>
      </c>
      <c r="E1245" t="inlineStr">
        <is>
          <t>HÄRJEDALEN</t>
        </is>
      </c>
      <c r="G1245" t="n">
        <v>13.4</v>
      </c>
      <c r="H1245" t="n">
        <v>0</v>
      </c>
      <c r="I1245" t="n">
        <v>0</v>
      </c>
      <c r="J1245" t="n">
        <v>0</v>
      </c>
      <c r="K1245" t="n">
        <v>0</v>
      </c>
      <c r="L1245" t="n">
        <v>0</v>
      </c>
      <c r="M1245" t="n">
        <v>0</v>
      </c>
      <c r="N1245" t="n">
        <v>0</v>
      </c>
      <c r="O1245" t="n">
        <v>0</v>
      </c>
      <c r="P1245" t="n">
        <v>0</v>
      </c>
      <c r="Q1245" t="n">
        <v>0</v>
      </c>
      <c r="R1245" s="2" t="inlineStr"/>
    </row>
    <row r="1246" ht="15" customHeight="1">
      <c r="A1246" t="inlineStr">
        <is>
          <t>A 56909-2023</t>
        </is>
      </c>
      <c r="B1246" s="1" t="n">
        <v>45244</v>
      </c>
      <c r="C1246" s="1" t="n">
        <v>45357</v>
      </c>
      <c r="D1246" t="inlineStr">
        <is>
          <t>JÄMTLANDS LÄN</t>
        </is>
      </c>
      <c r="E1246" t="inlineStr">
        <is>
          <t>HÄRJEDALEN</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56912-2023</t>
        </is>
      </c>
      <c r="B1247" s="1" t="n">
        <v>45244</v>
      </c>
      <c r="C1247" s="1" t="n">
        <v>45357</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56906-2023</t>
        </is>
      </c>
      <c r="B1248" s="1" t="n">
        <v>45244</v>
      </c>
      <c r="C1248" s="1" t="n">
        <v>45357</v>
      </c>
      <c r="D1248" t="inlineStr">
        <is>
          <t>JÄMTLANDS LÄN</t>
        </is>
      </c>
      <c r="E1248" t="inlineStr">
        <is>
          <t>HÄRJEDALEN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57313-2023</t>
        </is>
      </c>
      <c r="B1249" s="1" t="n">
        <v>45245</v>
      </c>
      <c r="C1249" s="1" t="n">
        <v>45357</v>
      </c>
      <c r="D1249" t="inlineStr">
        <is>
          <t>JÄMTLANDS LÄN</t>
        </is>
      </c>
      <c r="E1249" t="inlineStr">
        <is>
          <t>HÄRJEDALEN</t>
        </is>
      </c>
      <c r="F1249" t="inlineStr">
        <is>
          <t>Bergvik skog väst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57099-2023</t>
        </is>
      </c>
      <c r="B1250" s="1" t="n">
        <v>45245</v>
      </c>
      <c r="C1250" s="1" t="n">
        <v>45357</v>
      </c>
      <c r="D1250" t="inlineStr">
        <is>
          <t>JÄMTLANDS LÄN</t>
        </is>
      </c>
      <c r="E1250" t="inlineStr">
        <is>
          <t>HÄRJEDALEN</t>
        </is>
      </c>
      <c r="F1250" t="inlineStr">
        <is>
          <t>Bergvik skog väst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57181-2023</t>
        </is>
      </c>
      <c r="B1251" s="1" t="n">
        <v>45245</v>
      </c>
      <c r="C1251" s="1" t="n">
        <v>45357</v>
      </c>
      <c r="D1251" t="inlineStr">
        <is>
          <t>JÄMTLANDS LÄN</t>
        </is>
      </c>
      <c r="E1251" t="inlineStr">
        <is>
          <t>HÄRJEDALEN</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57202-2023</t>
        </is>
      </c>
      <c r="B1252" s="1" t="n">
        <v>45245</v>
      </c>
      <c r="C1252" s="1" t="n">
        <v>45357</v>
      </c>
      <c r="D1252" t="inlineStr">
        <is>
          <t>JÄMTLANDS LÄN</t>
        </is>
      </c>
      <c r="E1252" t="inlineStr">
        <is>
          <t>HÄRJEDALEN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57140-2023</t>
        </is>
      </c>
      <c r="B1253" s="1" t="n">
        <v>45245</v>
      </c>
      <c r="C1253" s="1" t="n">
        <v>45357</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57281-2023</t>
        </is>
      </c>
      <c r="B1254" s="1" t="n">
        <v>45245</v>
      </c>
      <c r="C1254" s="1" t="n">
        <v>45357</v>
      </c>
      <c r="D1254" t="inlineStr">
        <is>
          <t>JÄMTLANDS LÄN</t>
        </is>
      </c>
      <c r="E1254" t="inlineStr">
        <is>
          <t>HÄRJEDALEN</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57661-2023</t>
        </is>
      </c>
      <c r="B1255" s="1" t="n">
        <v>45246</v>
      </c>
      <c r="C1255" s="1" t="n">
        <v>45357</v>
      </c>
      <c r="D1255" t="inlineStr">
        <is>
          <t>JÄMTLANDS LÄN</t>
        </is>
      </c>
      <c r="E1255" t="inlineStr">
        <is>
          <t>HÄRJEDALEN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58146-2023</t>
        </is>
      </c>
      <c r="B1256" s="1" t="n">
        <v>45250</v>
      </c>
      <c r="C1256" s="1" t="n">
        <v>45357</v>
      </c>
      <c r="D1256" t="inlineStr">
        <is>
          <t>JÄMTLANDS LÄN</t>
        </is>
      </c>
      <c r="E1256" t="inlineStr">
        <is>
          <t>HÄRJEDALEN</t>
        </is>
      </c>
      <c r="F1256" t="inlineStr">
        <is>
          <t>Bergvik skog väst AB</t>
        </is>
      </c>
      <c r="G1256" t="n">
        <v>15.9</v>
      </c>
      <c r="H1256" t="n">
        <v>0</v>
      </c>
      <c r="I1256" t="n">
        <v>0</v>
      </c>
      <c r="J1256" t="n">
        <v>0</v>
      </c>
      <c r="K1256" t="n">
        <v>0</v>
      </c>
      <c r="L1256" t="n">
        <v>0</v>
      </c>
      <c r="M1256" t="n">
        <v>0</v>
      </c>
      <c r="N1256" t="n">
        <v>0</v>
      </c>
      <c r="O1256" t="n">
        <v>0</v>
      </c>
      <c r="P1256" t="n">
        <v>0</v>
      </c>
      <c r="Q1256" t="n">
        <v>0</v>
      </c>
      <c r="R1256" s="2" t="inlineStr"/>
    </row>
    <row r="1257" ht="15" customHeight="1">
      <c r="A1257" t="inlineStr">
        <is>
          <t>A 58144-2023</t>
        </is>
      </c>
      <c r="B1257" s="1" t="n">
        <v>45250</v>
      </c>
      <c r="C1257" s="1" t="n">
        <v>45357</v>
      </c>
      <c r="D1257" t="inlineStr">
        <is>
          <t>JÄMTLANDS LÄN</t>
        </is>
      </c>
      <c r="E1257" t="inlineStr">
        <is>
          <t>HÄRJEDALEN</t>
        </is>
      </c>
      <c r="F1257" t="inlineStr">
        <is>
          <t>Bergvik skog väst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58890-2023</t>
        </is>
      </c>
      <c r="B1258" s="1" t="n">
        <v>45252</v>
      </c>
      <c r="C1258" s="1" t="n">
        <v>45357</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58930-2023</t>
        </is>
      </c>
      <c r="B1259" s="1" t="n">
        <v>45252</v>
      </c>
      <c r="C1259" s="1" t="n">
        <v>45357</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58866-2023</t>
        </is>
      </c>
      <c r="B1260" s="1" t="n">
        <v>45252</v>
      </c>
      <c r="C1260" s="1" t="n">
        <v>45357</v>
      </c>
      <c r="D1260" t="inlineStr">
        <is>
          <t>JÄMTLANDS LÄN</t>
        </is>
      </c>
      <c r="E1260" t="inlineStr">
        <is>
          <t>HÄRJEDALEN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59092-2023</t>
        </is>
      </c>
      <c r="B1261" s="1" t="n">
        <v>45253</v>
      </c>
      <c r="C1261" s="1" t="n">
        <v>45357</v>
      </c>
      <c r="D1261" t="inlineStr">
        <is>
          <t>JÄMTLANDS LÄN</t>
        </is>
      </c>
      <c r="E1261" t="inlineStr">
        <is>
          <t>HÄRJEDALEN</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59279-2023</t>
        </is>
      </c>
      <c r="B1262" s="1" t="n">
        <v>45253</v>
      </c>
      <c r="C1262" s="1" t="n">
        <v>45357</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59424-2023</t>
        </is>
      </c>
      <c r="B1263" s="1" t="n">
        <v>45254</v>
      </c>
      <c r="C1263" s="1" t="n">
        <v>45357</v>
      </c>
      <c r="D1263" t="inlineStr">
        <is>
          <t>JÄMTLANDS LÄN</t>
        </is>
      </c>
      <c r="E1263" t="inlineStr">
        <is>
          <t>HÄRJEDALEN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59577-2023</t>
        </is>
      </c>
      <c r="B1264" s="1" t="n">
        <v>45254</v>
      </c>
      <c r="C1264" s="1" t="n">
        <v>45357</v>
      </c>
      <c r="D1264" t="inlineStr">
        <is>
          <t>JÄMTLANDS LÄN</t>
        </is>
      </c>
      <c r="E1264" t="inlineStr">
        <is>
          <t>HÄRJEDALEN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59594-2023</t>
        </is>
      </c>
      <c r="B1265" s="1" t="n">
        <v>45254</v>
      </c>
      <c r="C1265" s="1" t="n">
        <v>45357</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59620-2023</t>
        </is>
      </c>
      <c r="B1266" s="1" t="n">
        <v>45254</v>
      </c>
      <c r="C1266" s="1" t="n">
        <v>45357</v>
      </c>
      <c r="D1266" t="inlineStr">
        <is>
          <t>JÄMTLANDS LÄN</t>
        </is>
      </c>
      <c r="E1266" t="inlineStr">
        <is>
          <t>HÄRJEDALEN</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59738-2023</t>
        </is>
      </c>
      <c r="B1267" s="1" t="n">
        <v>45257</v>
      </c>
      <c r="C1267" s="1" t="n">
        <v>45357</v>
      </c>
      <c r="D1267" t="inlineStr">
        <is>
          <t>JÄMTLANDS LÄN</t>
        </is>
      </c>
      <c r="E1267" t="inlineStr">
        <is>
          <t>HÄRJEDALEN</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45357</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45357</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60521-2023</t>
        </is>
      </c>
      <c r="B1270" s="1" t="n">
        <v>45259</v>
      </c>
      <c r="C1270" s="1" t="n">
        <v>45357</v>
      </c>
      <c r="D1270" t="inlineStr">
        <is>
          <t>JÄMTLANDS LÄN</t>
        </is>
      </c>
      <c r="E1270" t="inlineStr">
        <is>
          <t>HÄRJEDALEN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45357</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45357</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45357</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45357</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45357</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45357</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45357</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63577-2023</t>
        </is>
      </c>
      <c r="B1278" s="1" t="n">
        <v>45275</v>
      </c>
      <c r="C1278" s="1" t="n">
        <v>45357</v>
      </c>
      <c r="D1278" t="inlineStr">
        <is>
          <t>JÄMTLANDS LÄN</t>
        </is>
      </c>
      <c r="E1278" t="inlineStr">
        <is>
          <t>HÄRJEDALEN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63546-2023</t>
        </is>
      </c>
      <c r="B1279" s="1" t="n">
        <v>45275</v>
      </c>
      <c r="C1279" s="1" t="n">
        <v>45357</v>
      </c>
      <c r="D1279" t="inlineStr">
        <is>
          <t>JÄMTLANDS LÄN</t>
        </is>
      </c>
      <c r="E1279" t="inlineStr">
        <is>
          <t>HÄRJEDALEN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63802-2023</t>
        </is>
      </c>
      <c r="B1280" s="1" t="n">
        <v>45278</v>
      </c>
      <c r="C1280" s="1" t="n">
        <v>45357</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63934-2023</t>
        </is>
      </c>
      <c r="B1281" s="1" t="n">
        <v>45278</v>
      </c>
      <c r="C1281" s="1" t="n">
        <v>45357</v>
      </c>
      <c r="D1281" t="inlineStr">
        <is>
          <t>JÄMTLANDS LÄN</t>
        </is>
      </c>
      <c r="E1281" t="inlineStr">
        <is>
          <t>HÄRJEDALEN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64157-2023</t>
        </is>
      </c>
      <c r="B1282" s="1" t="n">
        <v>45279</v>
      </c>
      <c r="C1282" s="1" t="n">
        <v>45357</v>
      </c>
      <c r="D1282" t="inlineStr">
        <is>
          <t>JÄMTLANDS LÄN</t>
        </is>
      </c>
      <c r="E1282" t="inlineStr">
        <is>
          <t>HÄRJEDALEN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64144-2023</t>
        </is>
      </c>
      <c r="B1283" s="1" t="n">
        <v>45279</v>
      </c>
      <c r="C1283" s="1" t="n">
        <v>45357</v>
      </c>
      <c r="D1283" t="inlineStr">
        <is>
          <t>JÄMTLANDS LÄN</t>
        </is>
      </c>
      <c r="E1283" t="inlineStr">
        <is>
          <t>HÄRJEDALEN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45357</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64371-2023</t>
        </is>
      </c>
      <c r="B1285" s="1" t="n">
        <v>45280</v>
      </c>
      <c r="C1285" s="1" t="n">
        <v>45357</v>
      </c>
      <c r="D1285" t="inlineStr">
        <is>
          <t>JÄMTLANDS LÄN</t>
        </is>
      </c>
      <c r="E1285" t="inlineStr">
        <is>
          <t>HÄRJEDALEN</t>
        </is>
      </c>
      <c r="G1285" t="n">
        <v>31.8</v>
      </c>
      <c r="H1285" t="n">
        <v>0</v>
      </c>
      <c r="I1285" t="n">
        <v>0</v>
      </c>
      <c r="J1285" t="n">
        <v>0</v>
      </c>
      <c r="K1285" t="n">
        <v>0</v>
      </c>
      <c r="L1285" t="n">
        <v>0</v>
      </c>
      <c r="M1285" t="n">
        <v>0</v>
      </c>
      <c r="N1285" t="n">
        <v>0</v>
      </c>
      <c r="O1285" t="n">
        <v>0</v>
      </c>
      <c r="P1285" t="n">
        <v>0</v>
      </c>
      <c r="Q1285" t="n">
        <v>0</v>
      </c>
      <c r="R1285" s="2" t="inlineStr"/>
    </row>
    <row r="1286" ht="15" customHeight="1">
      <c r="A1286" t="inlineStr">
        <is>
          <t>A 64485-2023</t>
        </is>
      </c>
      <c r="B1286" s="1" t="n">
        <v>45280</v>
      </c>
      <c r="C1286" s="1" t="n">
        <v>45357</v>
      </c>
      <c r="D1286" t="inlineStr">
        <is>
          <t>JÄMTLANDS LÄN</t>
        </is>
      </c>
      <c r="E1286" t="inlineStr">
        <is>
          <t>HÄRJEDALEN</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64484-2023</t>
        </is>
      </c>
      <c r="B1287" s="1" t="n">
        <v>45280</v>
      </c>
      <c r="C1287" s="1" t="n">
        <v>45357</v>
      </c>
      <c r="D1287" t="inlineStr">
        <is>
          <t>JÄMTLANDS LÄN</t>
        </is>
      </c>
      <c r="E1287" t="inlineStr">
        <is>
          <t>HÄRJEDALEN</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64648-2023</t>
        </is>
      </c>
      <c r="B1288" s="1" t="n">
        <v>45281</v>
      </c>
      <c r="C1288" s="1" t="n">
        <v>45357</v>
      </c>
      <c r="D1288" t="inlineStr">
        <is>
          <t>JÄMTLANDS LÄN</t>
        </is>
      </c>
      <c r="E1288" t="inlineStr">
        <is>
          <t>HÄRJEDALEN</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64630-2023</t>
        </is>
      </c>
      <c r="B1289" s="1" t="n">
        <v>45281</v>
      </c>
      <c r="C1289" s="1" t="n">
        <v>45357</v>
      </c>
      <c r="D1289" t="inlineStr">
        <is>
          <t>JÄMTLANDS LÄN</t>
        </is>
      </c>
      <c r="E1289" t="inlineStr">
        <is>
          <t>HÄRJEDALEN</t>
        </is>
      </c>
      <c r="G1289" t="n">
        <v>82.2</v>
      </c>
      <c r="H1289" t="n">
        <v>0</v>
      </c>
      <c r="I1289" t="n">
        <v>0</v>
      </c>
      <c r="J1289" t="n">
        <v>0</v>
      </c>
      <c r="K1289" t="n">
        <v>0</v>
      </c>
      <c r="L1289" t="n">
        <v>0</v>
      </c>
      <c r="M1289" t="n">
        <v>0</v>
      </c>
      <c r="N1289" t="n">
        <v>0</v>
      </c>
      <c r="O1289" t="n">
        <v>0</v>
      </c>
      <c r="P1289" t="n">
        <v>0</v>
      </c>
      <c r="Q1289" t="n">
        <v>0</v>
      </c>
      <c r="R1289" s="2" t="inlineStr"/>
    </row>
    <row r="1290" ht="15" customHeight="1">
      <c r="A1290" t="inlineStr">
        <is>
          <t>A 64647-2023</t>
        </is>
      </c>
      <c r="B1290" s="1" t="n">
        <v>45281</v>
      </c>
      <c r="C1290" s="1" t="n">
        <v>45357</v>
      </c>
      <c r="D1290" t="inlineStr">
        <is>
          <t>JÄMTLANDS LÄN</t>
        </is>
      </c>
      <c r="E1290" t="inlineStr">
        <is>
          <t>HÄRJEDALEN</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64645-2023</t>
        </is>
      </c>
      <c r="B1291" s="1" t="n">
        <v>45281</v>
      </c>
      <c r="C1291" s="1" t="n">
        <v>45357</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45357</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45357</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45357</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45357</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45357</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40-2024</t>
        </is>
      </c>
      <c r="B1297" s="1" t="n">
        <v>45293</v>
      </c>
      <c r="C1297" s="1" t="n">
        <v>45357</v>
      </c>
      <c r="D1297" t="inlineStr">
        <is>
          <t>JÄMTLANDS LÄN</t>
        </is>
      </c>
      <c r="E1297" t="inlineStr">
        <is>
          <t>HÄRJEDALEN</t>
        </is>
      </c>
      <c r="G1297" t="n">
        <v>24.2</v>
      </c>
      <c r="H1297" t="n">
        <v>0</v>
      </c>
      <c r="I1297" t="n">
        <v>0</v>
      </c>
      <c r="J1297" t="n">
        <v>0</v>
      </c>
      <c r="K1297" t="n">
        <v>0</v>
      </c>
      <c r="L1297" t="n">
        <v>0</v>
      </c>
      <c r="M1297" t="n">
        <v>0</v>
      </c>
      <c r="N1297" t="n">
        <v>0</v>
      </c>
      <c r="O1297" t="n">
        <v>0</v>
      </c>
      <c r="P1297" t="n">
        <v>0</v>
      </c>
      <c r="Q1297" t="n">
        <v>0</v>
      </c>
      <c r="R1297" s="2" t="inlineStr"/>
    </row>
    <row r="1298" ht="15" customHeight="1">
      <c r="A1298" t="inlineStr">
        <is>
          <t>A 54-2024</t>
        </is>
      </c>
      <c r="B1298" s="1" t="n">
        <v>45293</v>
      </c>
      <c r="C1298" s="1" t="n">
        <v>45357</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45357</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45357</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45357</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1364-2024</t>
        </is>
      </c>
      <c r="B1302" s="1" t="n">
        <v>45303</v>
      </c>
      <c r="C1302" s="1" t="n">
        <v>45357</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1361-2024</t>
        </is>
      </c>
      <c r="B1303" s="1" t="n">
        <v>45303</v>
      </c>
      <c r="C1303" s="1" t="n">
        <v>45357</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45357</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45357</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2066-2024</t>
        </is>
      </c>
      <c r="B1306" s="1" t="n">
        <v>45308</v>
      </c>
      <c r="C1306" s="1" t="n">
        <v>45357</v>
      </c>
      <c r="D1306" t="inlineStr">
        <is>
          <t>JÄMTLANDS LÄN</t>
        </is>
      </c>
      <c r="E1306" t="inlineStr">
        <is>
          <t>HÄRJEDALEN</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2185-2024</t>
        </is>
      </c>
      <c r="B1307" s="1" t="n">
        <v>45309</v>
      </c>
      <c r="C1307" s="1" t="n">
        <v>45357</v>
      </c>
      <c r="D1307" t="inlineStr">
        <is>
          <t>JÄMTLANDS LÄN</t>
        </is>
      </c>
      <c r="E1307" t="inlineStr">
        <is>
          <t>HÄRJEDALEN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4533-2024</t>
        </is>
      </c>
      <c r="B1308" s="1" t="n">
        <v>45327</v>
      </c>
      <c r="C1308" s="1" t="n">
        <v>45357</v>
      </c>
      <c r="D1308" t="inlineStr">
        <is>
          <t>JÄMTLANDS LÄN</t>
        </is>
      </c>
      <c r="E1308" t="inlineStr">
        <is>
          <t>HÄRJEDALEN</t>
        </is>
      </c>
      <c r="F1308" t="inlineStr">
        <is>
          <t>Övriga statliga verk och myndigheter</t>
        </is>
      </c>
      <c r="G1308" t="n">
        <v>21.1</v>
      </c>
      <c r="H1308" t="n">
        <v>0</v>
      </c>
      <c r="I1308" t="n">
        <v>0</v>
      </c>
      <c r="J1308" t="n">
        <v>0</v>
      </c>
      <c r="K1308" t="n">
        <v>0</v>
      </c>
      <c r="L1308" t="n">
        <v>0</v>
      </c>
      <c r="M1308" t="n">
        <v>0</v>
      </c>
      <c r="N1308" t="n">
        <v>0</v>
      </c>
      <c r="O1308" t="n">
        <v>0</v>
      </c>
      <c r="P1308" t="n">
        <v>0</v>
      </c>
      <c r="Q1308" t="n">
        <v>0</v>
      </c>
      <c r="R1308" s="2" t="inlineStr"/>
    </row>
    <row r="1309" ht="15" customHeight="1">
      <c r="A1309" t="inlineStr">
        <is>
          <t>A 5630-2024</t>
        </is>
      </c>
      <c r="B1309" s="1" t="n">
        <v>45334</v>
      </c>
      <c r="C1309" s="1" t="n">
        <v>45357</v>
      </c>
      <c r="D1309" t="inlineStr">
        <is>
          <t>JÄMTLANDS LÄN</t>
        </is>
      </c>
      <c r="E1309" t="inlineStr">
        <is>
          <t>HÄRJEDALEN</t>
        </is>
      </c>
      <c r="F1309" t="inlineStr">
        <is>
          <t>Övriga statliga verk och myndigheter</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45357</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5912-2024</t>
        </is>
      </c>
      <c r="B1311" s="1" t="n">
        <v>45335</v>
      </c>
      <c r="C1311" s="1" t="n">
        <v>45357</v>
      </c>
      <c r="D1311" t="inlineStr">
        <is>
          <t>JÄMTLANDS LÄN</t>
        </is>
      </c>
      <c r="E1311" t="inlineStr">
        <is>
          <t>HÄRJEDALEN</t>
        </is>
      </c>
      <c r="G1311" t="n">
        <v>39.3</v>
      </c>
      <c r="H1311" t="n">
        <v>0</v>
      </c>
      <c r="I1311" t="n">
        <v>0</v>
      </c>
      <c r="J1311" t="n">
        <v>0</v>
      </c>
      <c r="K1311" t="n">
        <v>0</v>
      </c>
      <c r="L1311" t="n">
        <v>0</v>
      </c>
      <c r="M1311" t="n">
        <v>0</v>
      </c>
      <c r="N1311" t="n">
        <v>0</v>
      </c>
      <c r="O1311" t="n">
        <v>0</v>
      </c>
      <c r="P1311" t="n">
        <v>0</v>
      </c>
      <c r="Q1311" t="n">
        <v>0</v>
      </c>
      <c r="R1311" s="2" t="inlineStr"/>
    </row>
    <row r="1312" ht="15" customHeight="1">
      <c r="A1312" t="inlineStr">
        <is>
          <t>A 6218-2024</t>
        </is>
      </c>
      <c r="B1312" s="1" t="n">
        <v>45337</v>
      </c>
      <c r="C1312" s="1" t="n">
        <v>45357</v>
      </c>
      <c r="D1312" t="inlineStr">
        <is>
          <t>JÄMTLANDS LÄN</t>
        </is>
      </c>
      <c r="E1312" t="inlineStr">
        <is>
          <t>HÄRJEDALEN</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6286-2024</t>
        </is>
      </c>
      <c r="B1313" s="1" t="n">
        <v>45337</v>
      </c>
      <c r="C1313" s="1" t="n">
        <v>45357</v>
      </c>
      <c r="D1313" t="inlineStr">
        <is>
          <t>JÄMTLANDS LÄN</t>
        </is>
      </c>
      <c r="E1313" t="inlineStr">
        <is>
          <t>HÄRJEDALEN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6313-2024</t>
        </is>
      </c>
      <c r="B1314" s="1" t="n">
        <v>45338</v>
      </c>
      <c r="C1314" s="1" t="n">
        <v>45357</v>
      </c>
      <c r="D1314" t="inlineStr">
        <is>
          <t>JÄMTLANDS LÄN</t>
        </is>
      </c>
      <c r="E1314" t="inlineStr">
        <is>
          <t>HÄRJEDALEN</t>
        </is>
      </c>
      <c r="F1314" t="inlineStr">
        <is>
          <t>Bergvik skog väst AB</t>
        </is>
      </c>
      <c r="G1314" t="n">
        <v>60.7</v>
      </c>
      <c r="H1314" t="n">
        <v>0</v>
      </c>
      <c r="I1314" t="n">
        <v>0</v>
      </c>
      <c r="J1314" t="n">
        <v>0</v>
      </c>
      <c r="K1314" t="n">
        <v>0</v>
      </c>
      <c r="L1314" t="n">
        <v>0</v>
      </c>
      <c r="M1314" t="n">
        <v>0</v>
      </c>
      <c r="N1314" t="n">
        <v>0</v>
      </c>
      <c r="O1314" t="n">
        <v>0</v>
      </c>
      <c r="P1314" t="n">
        <v>0</v>
      </c>
      <c r="Q1314" t="n">
        <v>0</v>
      </c>
      <c r="R1314" s="2" t="inlineStr"/>
    </row>
    <row r="1315" ht="15" customHeight="1">
      <c r="A1315" t="inlineStr">
        <is>
          <t>A 6304-2024</t>
        </is>
      </c>
      <c r="B1315" s="1" t="n">
        <v>45338</v>
      </c>
      <c r="C1315" s="1" t="n">
        <v>45357</v>
      </c>
      <c r="D1315" t="inlineStr">
        <is>
          <t>JÄMTLANDS LÄN</t>
        </is>
      </c>
      <c r="E1315" t="inlineStr">
        <is>
          <t>HÄRJEDALEN</t>
        </is>
      </c>
      <c r="F1315" t="inlineStr">
        <is>
          <t>Bergvik skog väst AB</t>
        </is>
      </c>
      <c r="G1315" t="n">
        <v>23.5</v>
      </c>
      <c r="H1315" t="n">
        <v>0</v>
      </c>
      <c r="I1315" t="n">
        <v>0</v>
      </c>
      <c r="J1315" t="n">
        <v>0</v>
      </c>
      <c r="K1315" t="n">
        <v>0</v>
      </c>
      <c r="L1315" t="n">
        <v>0</v>
      </c>
      <c r="M1315" t="n">
        <v>0</v>
      </c>
      <c r="N1315" t="n">
        <v>0</v>
      </c>
      <c r="O1315" t="n">
        <v>0</v>
      </c>
      <c r="P1315" t="n">
        <v>0</v>
      </c>
      <c r="Q1315" t="n">
        <v>0</v>
      </c>
      <c r="R1315" s="2" t="inlineStr"/>
    </row>
    <row r="1316" ht="15" customHeight="1">
      <c r="A1316" t="inlineStr">
        <is>
          <t>A 7205-2024</t>
        </is>
      </c>
      <c r="B1316" s="1" t="n">
        <v>45344</v>
      </c>
      <c r="C1316" s="1" t="n">
        <v>45357</v>
      </c>
      <c r="D1316" t="inlineStr">
        <is>
          <t>JÄMTLANDS LÄN</t>
        </is>
      </c>
      <c r="E1316" t="inlineStr">
        <is>
          <t>HÄRJEDALEN</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7235-2024</t>
        </is>
      </c>
      <c r="B1317" s="1" t="n">
        <v>45344</v>
      </c>
      <c r="C1317" s="1" t="n">
        <v>45357</v>
      </c>
      <c r="D1317" t="inlineStr">
        <is>
          <t>JÄMTLANDS LÄN</t>
        </is>
      </c>
      <c r="E1317" t="inlineStr">
        <is>
          <t>HÄRJEDALEN</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7239-2024</t>
        </is>
      </c>
      <c r="B1318" s="1" t="n">
        <v>45344</v>
      </c>
      <c r="C1318" s="1" t="n">
        <v>45357</v>
      </c>
      <c r="D1318" t="inlineStr">
        <is>
          <t>JÄMTLANDS LÄN</t>
        </is>
      </c>
      <c r="E1318" t="inlineStr">
        <is>
          <t>HÄRJEDALEN</t>
        </is>
      </c>
      <c r="F1318" t="inlineStr">
        <is>
          <t>Holmen skog AB</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7199-2024</t>
        </is>
      </c>
      <c r="B1319" s="1" t="n">
        <v>45344</v>
      </c>
      <c r="C1319" s="1" t="n">
        <v>45357</v>
      </c>
      <c r="D1319" t="inlineStr">
        <is>
          <t>JÄMTLANDS LÄN</t>
        </is>
      </c>
      <c r="E1319" t="inlineStr">
        <is>
          <t>HÄRJEDALEN</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7243-2024</t>
        </is>
      </c>
      <c r="B1320" s="1" t="n">
        <v>45344</v>
      </c>
      <c r="C1320" s="1" t="n">
        <v>45357</v>
      </c>
      <c r="D1320" t="inlineStr">
        <is>
          <t>JÄMTLANDS LÄN</t>
        </is>
      </c>
      <c r="E1320" t="inlineStr">
        <is>
          <t>HÄRJEDALEN</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7200-2024</t>
        </is>
      </c>
      <c r="B1321" s="1" t="n">
        <v>45344</v>
      </c>
      <c r="C1321" s="1" t="n">
        <v>45357</v>
      </c>
      <c r="D1321" t="inlineStr">
        <is>
          <t>JÄMTLANDS LÄN</t>
        </is>
      </c>
      <c r="E1321" t="inlineStr">
        <is>
          <t>HÄRJEDALEN</t>
        </is>
      </c>
      <c r="F1321" t="inlineStr">
        <is>
          <t>Holmen skog AB</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7318-2024</t>
        </is>
      </c>
      <c r="B1322" s="1" t="n">
        <v>45345</v>
      </c>
      <c r="C1322" s="1" t="n">
        <v>45357</v>
      </c>
      <c r="D1322" t="inlineStr">
        <is>
          <t>JÄMTLANDS LÄN</t>
        </is>
      </c>
      <c r="E1322" t="inlineStr">
        <is>
          <t>HÄRJEDALEN</t>
        </is>
      </c>
      <c r="F1322" t="inlineStr">
        <is>
          <t>Holmen skog AB</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7313-2024</t>
        </is>
      </c>
      <c r="B1323" s="1" t="n">
        <v>45345</v>
      </c>
      <c r="C1323" s="1" t="n">
        <v>45357</v>
      </c>
      <c r="D1323" t="inlineStr">
        <is>
          <t>JÄMTLANDS LÄN</t>
        </is>
      </c>
      <c r="E1323" t="inlineStr">
        <is>
          <t>HÄRJEDALEN</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7341-2024</t>
        </is>
      </c>
      <c r="B1324" s="1" t="n">
        <v>45345</v>
      </c>
      <c r="C1324" s="1" t="n">
        <v>45357</v>
      </c>
      <c r="D1324" t="inlineStr">
        <is>
          <t>JÄMTLANDS LÄN</t>
        </is>
      </c>
      <c r="E1324" t="inlineStr">
        <is>
          <t>HÄRJEDALEN</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7349-2024</t>
        </is>
      </c>
      <c r="B1325" s="1" t="n">
        <v>45345</v>
      </c>
      <c r="C1325" s="1" t="n">
        <v>45357</v>
      </c>
      <c r="D1325" t="inlineStr">
        <is>
          <t>JÄMTLANDS LÄN</t>
        </is>
      </c>
      <c r="E1325" t="inlineStr">
        <is>
          <t>HÄRJEDALEN</t>
        </is>
      </c>
      <c r="F1325" t="inlineStr">
        <is>
          <t>Holmen skog AB</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7320-2024</t>
        </is>
      </c>
      <c r="B1326" s="1" t="n">
        <v>45345</v>
      </c>
      <c r="C1326" s="1" t="n">
        <v>45357</v>
      </c>
      <c r="D1326" t="inlineStr">
        <is>
          <t>JÄMTLANDS LÄN</t>
        </is>
      </c>
      <c r="E1326" t="inlineStr">
        <is>
          <t>HÄRJEDALEN</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7328-2024</t>
        </is>
      </c>
      <c r="B1327" s="1" t="n">
        <v>45345</v>
      </c>
      <c r="C1327" s="1" t="n">
        <v>45357</v>
      </c>
      <c r="D1327" t="inlineStr">
        <is>
          <t>JÄMTLANDS LÄN</t>
        </is>
      </c>
      <c r="E1327" t="inlineStr">
        <is>
          <t>HÄRJEDALEN</t>
        </is>
      </c>
      <c r="F1327" t="inlineStr">
        <is>
          <t>Sveaskog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7368-2024</t>
        </is>
      </c>
      <c r="B1328" s="1" t="n">
        <v>45345</v>
      </c>
      <c r="C1328" s="1" t="n">
        <v>45357</v>
      </c>
      <c r="D1328" t="inlineStr">
        <is>
          <t>JÄMTLANDS LÄN</t>
        </is>
      </c>
      <c r="E1328" t="inlineStr">
        <is>
          <t>HÄRJEDALEN</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7311-2024</t>
        </is>
      </c>
      <c r="B1329" s="1" t="n">
        <v>45345</v>
      </c>
      <c r="C1329" s="1" t="n">
        <v>45357</v>
      </c>
      <c r="D1329" t="inlineStr">
        <is>
          <t>JÄMTLANDS LÄN</t>
        </is>
      </c>
      <c r="E1329" t="inlineStr">
        <is>
          <t>HÄRJEDALEN</t>
        </is>
      </c>
      <c r="F1329" t="inlineStr">
        <is>
          <t>Holmen skog AB</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7371-2024</t>
        </is>
      </c>
      <c r="B1330" s="1" t="n">
        <v>45345</v>
      </c>
      <c r="C1330" s="1" t="n">
        <v>45357</v>
      </c>
      <c r="D1330" t="inlineStr">
        <is>
          <t>JÄMTLANDS LÄN</t>
        </is>
      </c>
      <c r="E1330" t="inlineStr">
        <is>
          <t>HÄRJEDALEN</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7358-2024</t>
        </is>
      </c>
      <c r="B1331" s="1" t="n">
        <v>45345</v>
      </c>
      <c r="C1331" s="1" t="n">
        <v>45357</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7362-2024</t>
        </is>
      </c>
      <c r="B1332" s="1" t="n">
        <v>45345</v>
      </c>
      <c r="C1332" s="1" t="n">
        <v>45357</v>
      </c>
      <c r="D1332" t="inlineStr">
        <is>
          <t>JÄMTLANDS LÄN</t>
        </is>
      </c>
      <c r="E1332" t="inlineStr">
        <is>
          <t>HÄRJEDALEN</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7370-2024</t>
        </is>
      </c>
      <c r="B1333" s="1" t="n">
        <v>45345</v>
      </c>
      <c r="C1333" s="1" t="n">
        <v>45357</v>
      </c>
      <c r="D1333" t="inlineStr">
        <is>
          <t>JÄMTLANDS LÄN</t>
        </is>
      </c>
      <c r="E1333" t="inlineStr">
        <is>
          <t>HÄRJEDALEN</t>
        </is>
      </c>
      <c r="F1333" t="inlineStr">
        <is>
          <t>Holmen skog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7402-2024</t>
        </is>
      </c>
      <c r="B1334" s="1" t="n">
        <v>45345</v>
      </c>
      <c r="C1334" s="1" t="n">
        <v>45357</v>
      </c>
      <c r="D1334" t="inlineStr">
        <is>
          <t>JÄMTLANDS LÄN</t>
        </is>
      </c>
      <c r="E1334" t="inlineStr">
        <is>
          <t>HÄRJEDALEN</t>
        </is>
      </c>
      <c r="F1334" t="inlineStr">
        <is>
          <t>Holmen skog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7424-2024</t>
        </is>
      </c>
      <c r="B1335" s="1" t="n">
        <v>45345</v>
      </c>
      <c r="C1335" s="1" t="n">
        <v>45357</v>
      </c>
      <c r="D1335" t="inlineStr">
        <is>
          <t>JÄMTLANDS LÄN</t>
        </is>
      </c>
      <c r="E1335" t="inlineStr">
        <is>
          <t>HÄRJEDALEN</t>
        </is>
      </c>
      <c r="F1335" t="inlineStr">
        <is>
          <t>Holmen skog AB</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7433-2024</t>
        </is>
      </c>
      <c r="B1336" s="1" t="n">
        <v>45345</v>
      </c>
      <c r="C1336" s="1" t="n">
        <v>45357</v>
      </c>
      <c r="D1336" t="inlineStr">
        <is>
          <t>JÄMTLANDS LÄN</t>
        </is>
      </c>
      <c r="E1336" t="inlineStr">
        <is>
          <t>HÄRJEDALEN</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7430-2024</t>
        </is>
      </c>
      <c r="B1337" s="1" t="n">
        <v>45345</v>
      </c>
      <c r="C1337" s="1" t="n">
        <v>45357</v>
      </c>
      <c r="D1337" t="inlineStr">
        <is>
          <t>JÄMTLANDS LÄN</t>
        </is>
      </c>
      <c r="E1337" t="inlineStr">
        <is>
          <t>HÄRJEDALEN</t>
        </is>
      </c>
      <c r="F1337" t="inlineStr">
        <is>
          <t>Holmen skog AB</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7392-2024</t>
        </is>
      </c>
      <c r="B1338" s="1" t="n">
        <v>45345</v>
      </c>
      <c r="C1338" s="1" t="n">
        <v>45357</v>
      </c>
      <c r="D1338" t="inlineStr">
        <is>
          <t>JÄMTLANDS LÄN</t>
        </is>
      </c>
      <c r="E1338" t="inlineStr">
        <is>
          <t>HÄRJEDALEN</t>
        </is>
      </c>
      <c r="F1338" t="inlineStr">
        <is>
          <t>Holmen skog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7396-2024</t>
        </is>
      </c>
      <c r="B1339" s="1" t="n">
        <v>45345</v>
      </c>
      <c r="C1339" s="1" t="n">
        <v>45357</v>
      </c>
      <c r="D1339" t="inlineStr">
        <is>
          <t>JÄMTLANDS LÄN</t>
        </is>
      </c>
      <c r="E1339" t="inlineStr">
        <is>
          <t>HÄRJEDALEN</t>
        </is>
      </c>
      <c r="F1339" t="inlineStr">
        <is>
          <t>Holmen skog AB</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7405-2024</t>
        </is>
      </c>
      <c r="B1340" s="1" t="n">
        <v>45345</v>
      </c>
      <c r="C1340" s="1" t="n">
        <v>45357</v>
      </c>
      <c r="D1340" t="inlineStr">
        <is>
          <t>JÄMTLANDS LÄN</t>
        </is>
      </c>
      <c r="E1340" t="inlineStr">
        <is>
          <t>HÄRJEDALEN</t>
        </is>
      </c>
      <c r="F1340" t="inlineStr">
        <is>
          <t>Holmen skog AB</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7530-2024</t>
        </is>
      </c>
      <c r="B1341" s="1" t="n">
        <v>45348</v>
      </c>
      <c r="C1341" s="1" t="n">
        <v>45357</v>
      </c>
      <c r="D1341" t="inlineStr">
        <is>
          <t>JÄMTLANDS LÄN</t>
        </is>
      </c>
      <c r="E1341" t="inlineStr">
        <is>
          <t>HÄRJEDALEN</t>
        </is>
      </c>
      <c r="F1341" t="inlineStr">
        <is>
          <t>Holmen skog AB</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7639-2024</t>
        </is>
      </c>
      <c r="B1342" s="1" t="n">
        <v>45348</v>
      </c>
      <c r="C1342" s="1" t="n">
        <v>45357</v>
      </c>
      <c r="D1342" t="inlineStr">
        <is>
          <t>JÄMTLANDS LÄN</t>
        </is>
      </c>
      <c r="E1342" t="inlineStr">
        <is>
          <t>HÄRJEDALEN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7647-2024</t>
        </is>
      </c>
      <c r="B1343" s="1" t="n">
        <v>45348</v>
      </c>
      <c r="C1343" s="1" t="n">
        <v>45357</v>
      </c>
      <c r="D1343" t="inlineStr">
        <is>
          <t>JÄMTLANDS LÄN</t>
        </is>
      </c>
      <c r="E1343" t="inlineStr">
        <is>
          <t>HÄRJEDALEN</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7528-2024</t>
        </is>
      </c>
      <c r="B1344" s="1" t="n">
        <v>45348</v>
      </c>
      <c r="C1344" s="1" t="n">
        <v>45357</v>
      </c>
      <c r="D1344" t="inlineStr">
        <is>
          <t>JÄMTLANDS LÄN</t>
        </is>
      </c>
      <c r="E1344" t="inlineStr">
        <is>
          <t>HÄRJEDALEN</t>
        </is>
      </c>
      <c r="F1344" t="inlineStr">
        <is>
          <t>Holmen skog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7684-2024</t>
        </is>
      </c>
      <c r="B1345" s="1" t="n">
        <v>45348</v>
      </c>
      <c r="C1345" s="1" t="n">
        <v>45357</v>
      </c>
      <c r="D1345" t="inlineStr">
        <is>
          <t>JÄMTLANDS LÄN</t>
        </is>
      </c>
      <c r="E1345" t="inlineStr">
        <is>
          <t>HÄRJEDALEN</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7880-2024</t>
        </is>
      </c>
      <c r="B1346" s="1" t="n">
        <v>45350</v>
      </c>
      <c r="C1346" s="1" t="n">
        <v>45357</v>
      </c>
      <c r="D1346" t="inlineStr">
        <is>
          <t>JÄMTLANDS LÄN</t>
        </is>
      </c>
      <c r="E1346" t="inlineStr">
        <is>
          <t>HÄRJEDALEN</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7896-2024</t>
        </is>
      </c>
      <c r="B1347" s="1" t="n">
        <v>45350</v>
      </c>
      <c r="C1347" s="1" t="n">
        <v>45357</v>
      </c>
      <c r="D1347" t="inlineStr">
        <is>
          <t>JÄMTLANDS LÄN</t>
        </is>
      </c>
      <c r="E1347" t="inlineStr">
        <is>
          <t>HÄRJEDALEN</t>
        </is>
      </c>
      <c r="F1347" t="inlineStr">
        <is>
          <t>Holmen skog AB</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7995-2024</t>
        </is>
      </c>
      <c r="B1348" s="1" t="n">
        <v>45350</v>
      </c>
      <c r="C1348" s="1" t="n">
        <v>45357</v>
      </c>
      <c r="D1348" t="inlineStr">
        <is>
          <t>JÄMTLANDS LÄN</t>
        </is>
      </c>
      <c r="E1348" t="inlineStr">
        <is>
          <t>HÄRJEDALEN</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8178-2024</t>
        </is>
      </c>
      <c r="B1349" s="1" t="n">
        <v>45350</v>
      </c>
      <c r="C1349" s="1" t="n">
        <v>45357</v>
      </c>
      <c r="D1349" t="inlineStr">
        <is>
          <t>JÄMTLANDS LÄN</t>
        </is>
      </c>
      <c r="E1349" t="inlineStr">
        <is>
          <t>HÄRJEDALEN</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8158-2024</t>
        </is>
      </c>
      <c r="B1350" s="1" t="n">
        <v>45351</v>
      </c>
      <c r="C1350" s="1" t="n">
        <v>45357</v>
      </c>
      <c r="D1350" t="inlineStr">
        <is>
          <t>JÄMTLANDS LÄN</t>
        </is>
      </c>
      <c r="E1350" t="inlineStr">
        <is>
          <t>HÄRJEDALEN</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8136-2024</t>
        </is>
      </c>
      <c r="B1351" s="1" t="n">
        <v>45351</v>
      </c>
      <c r="C1351" s="1" t="n">
        <v>45357</v>
      </c>
      <c r="D1351" t="inlineStr">
        <is>
          <t>JÄMTLANDS LÄN</t>
        </is>
      </c>
      <c r="E1351" t="inlineStr">
        <is>
          <t>HÄRJEDALEN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8215-2024</t>
        </is>
      </c>
      <c r="B1352" s="1" t="n">
        <v>45351</v>
      </c>
      <c r="C1352" s="1" t="n">
        <v>45357</v>
      </c>
      <c r="D1352" t="inlineStr">
        <is>
          <t>JÄMTLANDS LÄN</t>
        </is>
      </c>
      <c r="E1352" t="inlineStr">
        <is>
          <t>HÄRJEDALEN</t>
        </is>
      </c>
      <c r="G1352" t="n">
        <v>49.2</v>
      </c>
      <c r="H1352" t="n">
        <v>0</v>
      </c>
      <c r="I1352" t="n">
        <v>0</v>
      </c>
      <c r="J1352" t="n">
        <v>0</v>
      </c>
      <c r="K1352" t="n">
        <v>0</v>
      </c>
      <c r="L1352" t="n">
        <v>0</v>
      </c>
      <c r="M1352" t="n">
        <v>0</v>
      </c>
      <c r="N1352" t="n">
        <v>0</v>
      </c>
      <c r="O1352" t="n">
        <v>0</v>
      </c>
      <c r="P1352" t="n">
        <v>0</v>
      </c>
      <c r="Q1352" t="n">
        <v>0</v>
      </c>
      <c r="R1352" s="2" t="inlineStr"/>
    </row>
    <row r="1353">
      <c r="A1353" t="inlineStr">
        <is>
          <t>A 8376-2024</t>
        </is>
      </c>
      <c r="B1353" s="1" t="n">
        <v>45352</v>
      </c>
      <c r="C1353" s="1" t="n">
        <v>45357</v>
      </c>
      <c r="D1353" t="inlineStr">
        <is>
          <t>JÄMTLANDS LÄN</t>
        </is>
      </c>
      <c r="E1353" t="inlineStr">
        <is>
          <t>HÄRJEDALEN</t>
        </is>
      </c>
      <c r="G1353" t="n">
        <v>1.6</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2024-03-06T12:56:41Z</dcterms:created>
  <dcterms:modified xmlns:dcterms="http://purl.org/dc/terms/" xmlns:xsi="http://www.w3.org/2001/XMLSchema-instance" xsi:type="dcterms:W3CDTF">2024-03-06T12:56:42Z</dcterms:modified>
</cp:coreProperties>
</file>