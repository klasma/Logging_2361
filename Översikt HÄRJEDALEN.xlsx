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46046</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46046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46046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46046</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46046</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46046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46046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46046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46046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46046</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46046</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46046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8533-2024</t>
        </is>
      </c>
      <c r="B21" s="1" t="n">
        <v>45351</v>
      </c>
      <c r="C21" s="1" t="n">
        <v>46046</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13974-2022</t>
        </is>
      </c>
      <c r="B22" s="1" t="n">
        <v>44650</v>
      </c>
      <c r="C22" s="1" t="n">
        <v>46046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46046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46046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43579-2025</t>
        </is>
      </c>
      <c r="B25" s="1" t="n">
        <v>45911</v>
      </c>
      <c r="C25" s="1" t="n">
        <v>46046</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61561-2021</t>
        </is>
      </c>
      <c r="B26" s="1" t="n">
        <v>44501</v>
      </c>
      <c r="C26" s="1" t="n">
        <v>46046</v>
      </c>
      <c r="D26" t="inlineStr">
        <is>
          <t>JÄMTLANDS LÄN</t>
        </is>
      </c>
      <c r="E26" t="inlineStr">
        <is>
          <t>HÄRJEDALEN</t>
        </is>
      </c>
      <c r="F26" t="inlineStr">
        <is>
          <t>Bergvik skog väst AB</t>
        </is>
      </c>
      <c r="G26" t="n">
        <v>16.2</v>
      </c>
      <c r="H26" t="n">
        <v>4</v>
      </c>
      <c r="I26" t="n">
        <v>4</v>
      </c>
      <c r="J26" t="n">
        <v>8</v>
      </c>
      <c r="K26" t="n">
        <v>2</v>
      </c>
      <c r="L26" t="n">
        <v>0</v>
      </c>
      <c r="M26" t="n">
        <v>0</v>
      </c>
      <c r="N26" t="n">
        <v>0</v>
      </c>
      <c r="O26" t="n">
        <v>10</v>
      </c>
      <c r="P26" t="n">
        <v>2</v>
      </c>
      <c r="Q26" t="n">
        <v>15</v>
      </c>
      <c r="R26" s="2" t="inlineStr">
        <is>
          <t>Doftticka
Knärot
Dvärgbägarlav
Garnlav
Lunglav
Mörk kolflarnlav
Skrovellav
Talltita
Vedskivlav
Violettgrå tagellav
Bårdlav
Dropptaggsvamp
Skinnlav
Skuggblåslav
Revlummer</t>
        </is>
      </c>
      <c r="S26">
        <f>HYPERLINK("https://klasma.github.io/Logging_2361/artfynd/A 61561-2021 artfynd.xlsx", "A 61561-2021")</f>
        <v/>
      </c>
      <c r="T26">
        <f>HYPERLINK("https://klasma.github.io/Logging_2361/kartor/A 61561-2021 karta.png", "A 61561-2021")</f>
        <v/>
      </c>
      <c r="U26">
        <f>HYPERLINK("https://klasma.github.io/Logging_2361/knärot/A 61561-2021 karta knärot.png", "A 61561-2021")</f>
        <v/>
      </c>
      <c r="V26">
        <f>HYPERLINK("https://klasma.github.io/Logging_2361/klagomål/A 61561-2021 FSC-klagomål.docx", "A 61561-2021")</f>
        <v/>
      </c>
      <c r="W26">
        <f>HYPERLINK("https://klasma.github.io/Logging_2361/klagomålsmail/A 61561-2021 FSC-klagomål mail.docx", "A 61561-2021")</f>
        <v/>
      </c>
      <c r="X26">
        <f>HYPERLINK("https://klasma.github.io/Logging_2361/tillsyn/A 61561-2021 tillsynsbegäran.docx", "A 61561-2021")</f>
        <v/>
      </c>
      <c r="Y26">
        <f>HYPERLINK("https://klasma.github.io/Logging_2361/tillsynsmail/A 61561-2021 tillsynsbegäran mail.docx", "A 61561-2021")</f>
        <v/>
      </c>
      <c r="Z26">
        <f>HYPERLINK("https://klasma.github.io/Logging_2361/fåglar/A 61561-2021 prioriterade fågelarter.docx", "A 61561-2021")</f>
        <v/>
      </c>
    </row>
    <row r="27" ht="15" customHeight="1">
      <c r="A27" t="inlineStr">
        <is>
          <t>A 18916-2022</t>
        </is>
      </c>
      <c r="B27" s="1" t="n">
        <v>44690</v>
      </c>
      <c r="C27" s="1" t="n">
        <v>46046</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37835-2024</t>
        </is>
      </c>
      <c r="B28" s="1" t="n">
        <v>45544.35653935185</v>
      </c>
      <c r="C28" s="1" t="n">
        <v>46046</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46046</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46046</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58277-2021</t>
        </is>
      </c>
      <c r="B31" s="1" t="n">
        <v>44487</v>
      </c>
      <c r="C31" s="1" t="n">
        <v>46046</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46046</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46046</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46046</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46046</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46046</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46046</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46046</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46046</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43789-2024</t>
        </is>
      </c>
      <c r="B40" s="1" t="n">
        <v>45571</v>
      </c>
      <c r="C40" s="1" t="n">
        <v>46046</v>
      </c>
      <c r="D40" t="inlineStr">
        <is>
          <t>JÄMTLANDS LÄN</t>
        </is>
      </c>
      <c r="E40" t="inlineStr">
        <is>
          <t>HÄRJEDALEN</t>
        </is>
      </c>
      <c r="G40" t="n">
        <v>24.6</v>
      </c>
      <c r="H40" t="n">
        <v>3</v>
      </c>
      <c r="I40" t="n">
        <v>0</v>
      </c>
      <c r="J40" t="n">
        <v>10</v>
      </c>
      <c r="K40" t="n">
        <v>1</v>
      </c>
      <c r="L40" t="n">
        <v>0</v>
      </c>
      <c r="M40" t="n">
        <v>0</v>
      </c>
      <c r="N40" t="n">
        <v>0</v>
      </c>
      <c r="O40" t="n">
        <v>11</v>
      </c>
      <c r="P40" t="n">
        <v>1</v>
      </c>
      <c r="Q40" t="n">
        <v>12</v>
      </c>
      <c r="R40" s="2" t="inlineStr">
        <is>
          <t>Rynkskinn
Gammelgransskål
Garnlav
Granticka
Kolflarnlav
Talltita
Tretåig hackspett
Ullticka
Vedflamlav
Vedskivlav
Vitgrynig nållav
Lavskrika</t>
        </is>
      </c>
      <c r="S40">
        <f>HYPERLINK("https://klasma.github.io/Logging_2361/artfynd/A 43789-2024 artfynd.xlsx", "A 43789-2024")</f>
        <v/>
      </c>
      <c r="T40">
        <f>HYPERLINK("https://klasma.github.io/Logging_2361/kartor/A 43789-2024 karta.png", "A 43789-2024")</f>
        <v/>
      </c>
      <c r="V40">
        <f>HYPERLINK("https://klasma.github.io/Logging_2361/klagomål/A 43789-2024 FSC-klagomål.docx", "A 43789-2024")</f>
        <v/>
      </c>
      <c r="W40">
        <f>HYPERLINK("https://klasma.github.io/Logging_2361/klagomålsmail/A 43789-2024 FSC-klagomål mail.docx", "A 43789-2024")</f>
        <v/>
      </c>
      <c r="X40">
        <f>HYPERLINK("https://klasma.github.io/Logging_2361/tillsyn/A 43789-2024 tillsynsbegäran.docx", "A 43789-2024")</f>
        <v/>
      </c>
      <c r="Y40">
        <f>HYPERLINK("https://klasma.github.io/Logging_2361/tillsynsmail/A 43789-2024 tillsynsbegäran mail.docx", "A 43789-2024")</f>
        <v/>
      </c>
      <c r="Z40">
        <f>HYPERLINK("https://klasma.github.io/Logging_2361/fåglar/A 43789-2024 prioriterade fågelarter.docx", "A 43789-2024")</f>
        <v/>
      </c>
    </row>
    <row r="41" ht="15" customHeight="1">
      <c r="A41" t="inlineStr">
        <is>
          <t>A 29434-2023</t>
        </is>
      </c>
      <c r="B41" s="1" t="n">
        <v>45106</v>
      </c>
      <c r="C41" s="1" t="n">
        <v>46046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46046</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46046</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28713-2021</t>
        </is>
      </c>
      <c r="B44" s="1" t="n">
        <v>44357</v>
      </c>
      <c r="C44" s="1" t="n">
        <v>46046</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31328-2022</t>
        </is>
      </c>
      <c r="B45" s="1" t="n">
        <v>44774</v>
      </c>
      <c r="C45" s="1" t="n">
        <v>46046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24249-2024</t>
        </is>
      </c>
      <c r="B46" s="1" t="n">
        <v>45457.38396990741</v>
      </c>
      <c r="C46" s="1" t="n">
        <v>46046</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46046</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47109-2025</t>
        </is>
      </c>
      <c r="B48" s="1" t="n">
        <v>45929.66552083333</v>
      </c>
      <c r="C48" s="1" t="n">
        <v>46046</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46046</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46046</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46046</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46046</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46046</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14058-2023</t>
        </is>
      </c>
      <c r="B54" s="1" t="n">
        <v>45007</v>
      </c>
      <c r="C54" s="1" t="n">
        <v>46046</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28288-2024</t>
        </is>
      </c>
      <c r="B55" s="1" t="n">
        <v>45477.46537037037</v>
      </c>
      <c r="C55" s="1" t="n">
        <v>46046</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56437-2025</t>
        </is>
      </c>
      <c r="B56" s="1" t="n">
        <v>45975.34710648148</v>
      </c>
      <c r="C56" s="1" t="n">
        <v>46046</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46046</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46046</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46046</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46046</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46046</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43905-2025</t>
        </is>
      </c>
      <c r="B62" s="1" t="n">
        <v>45913.74344907407</v>
      </c>
      <c r="C62" s="1" t="n">
        <v>46046</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74075-2021</t>
        </is>
      </c>
      <c r="B63" s="1" t="n">
        <v>44553</v>
      </c>
      <c r="C63" s="1" t="n">
        <v>46046</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46046</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46046</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46046</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46046</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42828-2021</t>
        </is>
      </c>
      <c r="B68" s="1" t="n">
        <v>44430</v>
      </c>
      <c r="C68" s="1" t="n">
        <v>46046</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46046</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46046</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46046</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46046</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46046</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44450-2024</t>
        </is>
      </c>
      <c r="B74" s="1" t="n">
        <v>45574</v>
      </c>
      <c r="C74" s="1" t="n">
        <v>46046</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46046</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41185-2024</t>
        </is>
      </c>
      <c r="B76" s="1" t="n">
        <v>45559</v>
      </c>
      <c r="C76" s="1" t="n">
        <v>46046</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54196-2024</t>
        </is>
      </c>
      <c r="B77" s="1" t="n">
        <v>45616.6450462963</v>
      </c>
      <c r="C77" s="1" t="n">
        <v>46046</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48699-2025</t>
        </is>
      </c>
      <c r="B78" s="1" t="n">
        <v>45936.61651620371</v>
      </c>
      <c r="C78" s="1" t="n">
        <v>46046</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46046</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46046</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46046</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46046</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10010-2025</t>
        </is>
      </c>
      <c r="B83" s="1" t="n">
        <v>45719</v>
      </c>
      <c r="C83" s="1" t="n">
        <v>46046</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55383-2022</t>
        </is>
      </c>
      <c r="B84" s="1" t="n">
        <v>44882</v>
      </c>
      <c r="C84" s="1" t="n">
        <v>46046</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56483-2023</t>
        </is>
      </c>
      <c r="B85" s="1" t="n">
        <v>45243</v>
      </c>
      <c r="C85" s="1" t="n">
        <v>46046</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46046</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46046</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46046</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46046</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63663-2025</t>
        </is>
      </c>
      <c r="B90" s="1" t="n">
        <v>46014.45143518518</v>
      </c>
      <c r="C90" s="1" t="n">
        <v>46046</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46046</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42826-2021</t>
        </is>
      </c>
      <c r="B92" s="1" t="n">
        <v>44430</v>
      </c>
      <c r="C92" s="1" t="n">
        <v>46046</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46046</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46046</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46046</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999-2025</t>
        </is>
      </c>
      <c r="B96" s="1" t="n">
        <v>45666</v>
      </c>
      <c r="C96" s="1" t="n">
        <v>46046</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46046</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33421-2021</t>
        </is>
      </c>
      <c r="B98" s="1" t="n">
        <v>44377</v>
      </c>
      <c r="C98" s="1" t="n">
        <v>46046</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24955-2023</t>
        </is>
      </c>
      <c r="B99" s="1" t="n">
        <v>45085</v>
      </c>
      <c r="C99" s="1" t="n">
        <v>46046</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46046</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41068-2024</t>
        </is>
      </c>
      <c r="B101" s="1" t="n">
        <v>45559.38894675926</v>
      </c>
      <c r="C101" s="1" t="n">
        <v>46046</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46046</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46046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46046</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46046</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35457-2024</t>
        </is>
      </c>
      <c r="B106" s="1" t="n">
        <v>45531.45752314815</v>
      </c>
      <c r="C106" s="1" t="n">
        <v>46046</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46046</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41549-2025</t>
        </is>
      </c>
      <c r="B108" s="1" t="n">
        <v>45901.58591435185</v>
      </c>
      <c r="C108" s="1" t="n">
        <v>46046</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43906-2025</t>
        </is>
      </c>
      <c r="B109" s="1" t="n">
        <v>45913.82180555556</v>
      </c>
      <c r="C109" s="1" t="n">
        <v>46046</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52017-2025</t>
        </is>
      </c>
      <c r="B110" s="1" t="n">
        <v>45952.59800925926</v>
      </c>
      <c r="C110" s="1" t="n">
        <v>46046</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4757-2023</t>
        </is>
      </c>
      <c r="B111" s="1" t="n">
        <v>44957</v>
      </c>
      <c r="C111" s="1" t="n">
        <v>46046</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46046</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64110-2025</t>
        </is>
      </c>
      <c r="B113" s="1" t="n">
        <v>46013</v>
      </c>
      <c r="C113" s="1" t="n">
        <v>46046</v>
      </c>
      <c r="D113" t="inlineStr">
        <is>
          <t>JÄMTLANDS LÄN</t>
        </is>
      </c>
      <c r="E113" t="inlineStr">
        <is>
          <t>HÄRJEDALEN</t>
        </is>
      </c>
      <c r="G113" t="n">
        <v>19.3</v>
      </c>
      <c r="H113" t="n">
        <v>0</v>
      </c>
      <c r="I113" t="n">
        <v>0</v>
      </c>
      <c r="J113" t="n">
        <v>3</v>
      </c>
      <c r="K113" t="n">
        <v>1</v>
      </c>
      <c r="L113" t="n">
        <v>0</v>
      </c>
      <c r="M113" t="n">
        <v>0</v>
      </c>
      <c r="N113" t="n">
        <v>0</v>
      </c>
      <c r="O113" t="n">
        <v>4</v>
      </c>
      <c r="P113" t="n">
        <v>1</v>
      </c>
      <c r="Q113" t="n">
        <v>4</v>
      </c>
      <c r="R113" s="2" t="inlineStr">
        <is>
          <t>Ringlav
Garnlav
Lunglav
Skrovellav</t>
        </is>
      </c>
      <c r="S113">
        <f>HYPERLINK("https://klasma.github.io/Logging_2361/artfynd/A 64110-2025 artfynd.xlsx", "A 64110-2025")</f>
        <v/>
      </c>
      <c r="T113">
        <f>HYPERLINK("https://klasma.github.io/Logging_2361/kartor/A 64110-2025 karta.png", "A 64110-2025")</f>
        <v/>
      </c>
      <c r="V113">
        <f>HYPERLINK("https://klasma.github.io/Logging_2361/klagomål/A 64110-2025 FSC-klagomål.docx", "A 64110-2025")</f>
        <v/>
      </c>
      <c r="W113">
        <f>HYPERLINK("https://klasma.github.io/Logging_2361/klagomålsmail/A 64110-2025 FSC-klagomål mail.docx", "A 64110-2025")</f>
        <v/>
      </c>
      <c r="X113">
        <f>HYPERLINK("https://klasma.github.io/Logging_2361/tillsyn/A 64110-2025 tillsynsbegäran.docx", "A 64110-2025")</f>
        <v/>
      </c>
      <c r="Y113">
        <f>HYPERLINK("https://klasma.github.io/Logging_2361/tillsynsmail/A 64110-2025 tillsynsbegäran mail.docx", "A 64110-2025")</f>
        <v/>
      </c>
    </row>
    <row r="114" ht="15" customHeight="1">
      <c r="A114" t="inlineStr">
        <is>
          <t>A 55244-2021</t>
        </is>
      </c>
      <c r="B114" s="1" t="n">
        <v>44475</v>
      </c>
      <c r="C114" s="1" t="n">
        <v>46046</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46046</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46046</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46046</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46046</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46046</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46046</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46046</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46046</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46046</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26225-2024</t>
        </is>
      </c>
      <c r="B124" s="1" t="n">
        <v>45468</v>
      </c>
      <c r="C124" s="1" t="n">
        <v>46046</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55855-2025</t>
        </is>
      </c>
      <c r="B125" s="1" t="n">
        <v>45973</v>
      </c>
      <c r="C125" s="1" t="n">
        <v>46046</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46046</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17082-2022</t>
        </is>
      </c>
      <c r="B127" s="1" t="n">
        <v>44677</v>
      </c>
      <c r="C127" s="1" t="n">
        <v>46046</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46046</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55298-2024</t>
        </is>
      </c>
      <c r="B129" s="1" t="n">
        <v>45621</v>
      </c>
      <c r="C129" s="1" t="n">
        <v>46046</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55298-2024 artfynd.xlsx", "A 55298-2024")</f>
        <v/>
      </c>
      <c r="T129">
        <f>HYPERLINK("https://klasma.github.io/Logging_2361/kartor/A 55298-2024 karta.png", "A 55298-2024")</f>
        <v/>
      </c>
      <c r="U129">
        <f>HYPERLINK("https://klasma.github.io/Logging_2361/knärot/A 55298-2024 karta knärot.png", "A 55298-2024")</f>
        <v/>
      </c>
      <c r="V129">
        <f>HYPERLINK("https://klasma.github.io/Logging_2361/klagomål/A 55298-2024 FSC-klagomål.docx", "A 55298-2024")</f>
        <v/>
      </c>
      <c r="W129">
        <f>HYPERLINK("https://klasma.github.io/Logging_2361/klagomålsmail/A 55298-2024 FSC-klagomål mail.docx", "A 55298-2024")</f>
        <v/>
      </c>
      <c r="X129">
        <f>HYPERLINK("https://klasma.github.io/Logging_2361/tillsyn/A 55298-2024 tillsynsbegäran.docx", "A 55298-2024")</f>
        <v/>
      </c>
      <c r="Y129">
        <f>HYPERLINK("https://klasma.github.io/Logging_2361/tillsynsmail/A 55298-2024 tillsynsbegäran mail.docx", "A 55298-2024")</f>
        <v/>
      </c>
    </row>
    <row r="130" ht="15" customHeight="1">
      <c r="A130" t="inlineStr">
        <is>
          <t>A 22508-2025</t>
        </is>
      </c>
      <c r="B130" s="1" t="n">
        <v>45786.66594907407</v>
      </c>
      <c r="C130" s="1" t="n">
        <v>46046</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22508-2025 artfynd.xlsx", "A 22508-2025")</f>
        <v/>
      </c>
      <c r="T130">
        <f>HYPERLINK("https://klasma.github.io/Logging_2361/kartor/A 22508-2025 karta.png", "A 22508-2025")</f>
        <v/>
      </c>
      <c r="V130">
        <f>HYPERLINK("https://klasma.github.io/Logging_2361/klagomål/A 22508-2025 FSC-klagomål.docx", "A 22508-2025")</f>
        <v/>
      </c>
      <c r="W130">
        <f>HYPERLINK("https://klasma.github.io/Logging_2361/klagomålsmail/A 22508-2025 FSC-klagomål mail.docx", "A 22508-2025")</f>
        <v/>
      </c>
      <c r="X130">
        <f>HYPERLINK("https://klasma.github.io/Logging_2361/tillsyn/A 22508-2025 tillsynsbegäran.docx", "A 22508-2025")</f>
        <v/>
      </c>
      <c r="Y130">
        <f>HYPERLINK("https://klasma.github.io/Logging_2361/tillsynsmail/A 22508-2025 tillsynsbegäran mail.docx", "A 22508-2025")</f>
        <v/>
      </c>
    </row>
    <row r="131" ht="15" customHeight="1">
      <c r="A131" t="inlineStr">
        <is>
          <t>A 22511-2025</t>
        </is>
      </c>
      <c r="B131" s="1" t="n">
        <v>45786.67016203704</v>
      </c>
      <c r="C131" s="1" t="n">
        <v>46046</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22513-2025</t>
        </is>
      </c>
      <c r="B132" s="1" t="n">
        <v>45786.6768287037</v>
      </c>
      <c r="C132" s="1" t="n">
        <v>46046</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22513-2025 artfynd.xlsx", "A 22513-2025")</f>
        <v/>
      </c>
      <c r="T132">
        <f>HYPERLINK("https://klasma.github.io/Logging_2361/kartor/A 22513-2025 karta.png", "A 22513-2025")</f>
        <v/>
      </c>
      <c r="V132">
        <f>HYPERLINK("https://klasma.github.io/Logging_2361/klagomål/A 22513-2025 FSC-klagomål.docx", "A 22513-2025")</f>
        <v/>
      </c>
      <c r="W132">
        <f>HYPERLINK("https://klasma.github.io/Logging_2361/klagomålsmail/A 22513-2025 FSC-klagomål mail.docx", "A 22513-2025")</f>
        <v/>
      </c>
      <c r="X132">
        <f>HYPERLINK("https://klasma.github.io/Logging_2361/tillsyn/A 22513-2025 tillsynsbegäran.docx", "A 22513-2025")</f>
        <v/>
      </c>
      <c r="Y132">
        <f>HYPERLINK("https://klasma.github.io/Logging_2361/tillsynsmail/A 22513-2025 tillsynsbegäran mail.docx", "A 22513-2025")</f>
        <v/>
      </c>
    </row>
    <row r="133" ht="15" customHeight="1">
      <c r="A133" t="inlineStr">
        <is>
          <t>A 22501-2025</t>
        </is>
      </c>
      <c r="B133" s="1" t="n">
        <v>45786.6590625</v>
      </c>
      <c r="C133" s="1" t="n">
        <v>46046</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36924-2024</t>
        </is>
      </c>
      <c r="B134" s="1" t="n">
        <v>45538</v>
      </c>
      <c r="C134" s="1" t="n">
        <v>46046</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36924-2024 artfynd.xlsx", "A 36924-2024")</f>
        <v/>
      </c>
      <c r="T134">
        <f>HYPERLINK("https://klasma.github.io/Logging_2361/kartor/A 36924-2024 karta.png", "A 36924-2024")</f>
        <v/>
      </c>
      <c r="V134">
        <f>HYPERLINK("https://klasma.github.io/Logging_2361/klagomål/A 36924-2024 FSC-klagomål.docx", "A 36924-2024")</f>
        <v/>
      </c>
      <c r="W134">
        <f>HYPERLINK("https://klasma.github.io/Logging_2361/klagomålsmail/A 36924-2024 FSC-klagomål mail.docx", "A 36924-2024")</f>
        <v/>
      </c>
      <c r="X134">
        <f>HYPERLINK("https://klasma.github.io/Logging_2361/tillsyn/A 36924-2024 tillsynsbegäran.docx", "A 36924-2024")</f>
        <v/>
      </c>
      <c r="Y134">
        <f>HYPERLINK("https://klasma.github.io/Logging_2361/tillsynsmail/A 36924-2024 tillsynsbegäran mail.docx", "A 36924-2024")</f>
        <v/>
      </c>
    </row>
    <row r="135" ht="15" customHeight="1">
      <c r="A135" t="inlineStr">
        <is>
          <t>A 22494-2025</t>
        </is>
      </c>
      <c r="B135" s="1" t="n">
        <v>45786.65452546296</v>
      </c>
      <c r="C135" s="1" t="n">
        <v>46046</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22512-2025</t>
        </is>
      </c>
      <c r="B136" s="1" t="n">
        <v>45786.67261574074</v>
      </c>
      <c r="C136" s="1" t="n">
        <v>46046</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22512-2025 artfynd.xlsx", "A 22512-2025")</f>
        <v/>
      </c>
      <c r="T136">
        <f>HYPERLINK("https://klasma.github.io/Logging_2361/kartor/A 22512-2025 karta.png", "A 22512-2025")</f>
        <v/>
      </c>
      <c r="V136">
        <f>HYPERLINK("https://klasma.github.io/Logging_2361/klagomål/A 22512-2025 FSC-klagomål.docx", "A 22512-2025")</f>
        <v/>
      </c>
      <c r="W136">
        <f>HYPERLINK("https://klasma.github.io/Logging_2361/klagomålsmail/A 22512-2025 FSC-klagomål mail.docx", "A 22512-2025")</f>
        <v/>
      </c>
      <c r="X136">
        <f>HYPERLINK("https://klasma.github.io/Logging_2361/tillsyn/A 22512-2025 tillsynsbegäran.docx", "A 22512-2025")</f>
        <v/>
      </c>
      <c r="Y136">
        <f>HYPERLINK("https://klasma.github.io/Logging_2361/tillsynsmail/A 22512-2025 tillsynsbegäran mail.docx", "A 22512-2025")</f>
        <v/>
      </c>
    </row>
    <row r="137" ht="15" customHeight="1">
      <c r="A137" t="inlineStr">
        <is>
          <t>A 47348-2022</t>
        </is>
      </c>
      <c r="B137" s="1" t="n">
        <v>44853</v>
      </c>
      <c r="C137" s="1" t="n">
        <v>46046</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17368-2023</t>
        </is>
      </c>
      <c r="B138" s="1" t="n">
        <v>45035</v>
      </c>
      <c r="C138" s="1" t="n">
        <v>46046</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10344-2023</t>
        </is>
      </c>
      <c r="B139" s="1" t="n">
        <v>44987</v>
      </c>
      <c r="C139" s="1" t="n">
        <v>46046</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4372-2023</t>
        </is>
      </c>
      <c r="B140" s="1" t="n">
        <v>44955</v>
      </c>
      <c r="C140" s="1" t="n">
        <v>46046</v>
      </c>
      <c r="D140" t="inlineStr">
        <is>
          <t>JÄMTLANDS LÄN</t>
        </is>
      </c>
      <c r="E140" t="inlineStr">
        <is>
          <t>HÄRJEDALEN</t>
        </is>
      </c>
      <c r="G140" t="n">
        <v>10.1</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HYPERLINK("https://klasma.github.io/Logging_2361/artfynd/A 4372-2023 artfynd.xlsx", "A 4372-2023")</f>
        <v/>
      </c>
      <c r="T140">
        <f>HYPERLINK("https://klasma.github.io/Logging_2361/kartor/A 4372-2023 karta.png", "A 4372-2023")</f>
        <v/>
      </c>
      <c r="V140">
        <f>HYPERLINK("https://klasma.github.io/Logging_2361/klagomål/A 4372-2023 FSC-klagomål.docx", "A 4372-2023")</f>
        <v/>
      </c>
      <c r="W140">
        <f>HYPERLINK("https://klasma.github.io/Logging_2361/klagomålsmail/A 4372-2023 FSC-klagomål mail.docx", "A 4372-2023")</f>
        <v/>
      </c>
      <c r="X140">
        <f>HYPERLINK("https://klasma.github.io/Logging_2361/tillsyn/A 4372-2023 tillsynsbegäran.docx", "A 4372-2023")</f>
        <v/>
      </c>
      <c r="Y140">
        <f>HYPERLINK("https://klasma.github.io/Logging_2361/tillsynsmail/A 4372-2023 tillsynsbegäran mail.docx", "A 4372-2023")</f>
        <v/>
      </c>
      <c r="Z140">
        <f>HYPERLINK("https://klasma.github.io/Logging_2361/fåglar/A 4372-2023 prioriterade fågelarter.docx", "A 4372-2023")</f>
        <v/>
      </c>
    </row>
    <row r="141" ht="15" customHeight="1">
      <c r="A141" t="inlineStr">
        <is>
          <t>A 20035-2025</t>
        </is>
      </c>
      <c r="B141" s="1" t="n">
        <v>45772.36488425926</v>
      </c>
      <c r="C141" s="1" t="n">
        <v>46046</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26346-2025</t>
        </is>
      </c>
      <c r="B142" s="1" t="n">
        <v>45805.73822916667</v>
      </c>
      <c r="C142" s="1" t="n">
        <v>46046</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3699-2021</t>
        </is>
      </c>
      <c r="B143" s="1" t="n">
        <v>44221</v>
      </c>
      <c r="C143" s="1" t="n">
        <v>46046</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49329-2024</t>
        </is>
      </c>
      <c r="B144" s="1" t="n">
        <v>45595.58056712963</v>
      </c>
      <c r="C144" s="1" t="n">
        <v>46046</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55228-2021</t>
        </is>
      </c>
      <c r="B145" s="1" t="n">
        <v>44475</v>
      </c>
      <c r="C145" s="1" t="n">
        <v>46046</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46046</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20132-2025</t>
        </is>
      </c>
      <c r="B147" s="1" t="n">
        <v>45772.51070601852</v>
      </c>
      <c r="C147" s="1" t="n">
        <v>46046</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46046</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29729-2024</t>
        </is>
      </c>
      <c r="B149" s="1" t="n">
        <v>45485</v>
      </c>
      <c r="C149" s="1" t="n">
        <v>46046</v>
      </c>
      <c r="D149" t="inlineStr">
        <is>
          <t>JÄMTLANDS LÄN</t>
        </is>
      </c>
      <c r="E149" t="inlineStr">
        <is>
          <t>HÄRJEDALEN</t>
        </is>
      </c>
      <c r="F149" t="inlineStr">
        <is>
          <t>Holmen skog AB</t>
        </is>
      </c>
      <c r="G149" t="n">
        <v>3.7</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29729-2024 artfynd.xlsx", "A 29729-2024")</f>
        <v/>
      </c>
      <c r="T149">
        <f>HYPERLINK("https://klasma.github.io/Logging_2361/kartor/A 29729-2024 karta.png", "A 29729-2024")</f>
        <v/>
      </c>
      <c r="V149">
        <f>HYPERLINK("https://klasma.github.io/Logging_2361/klagomål/A 29729-2024 FSC-klagomål.docx", "A 29729-2024")</f>
        <v/>
      </c>
      <c r="W149">
        <f>HYPERLINK("https://klasma.github.io/Logging_2361/klagomålsmail/A 29729-2024 FSC-klagomål mail.docx", "A 29729-2024")</f>
        <v/>
      </c>
      <c r="X149">
        <f>HYPERLINK("https://klasma.github.io/Logging_2361/tillsyn/A 29729-2024 tillsynsbegäran.docx", "A 29729-2024")</f>
        <v/>
      </c>
      <c r="Y149">
        <f>HYPERLINK("https://klasma.github.io/Logging_2361/tillsynsmail/A 29729-2024 tillsynsbegäran mail.docx", "A 29729-2024")</f>
        <v/>
      </c>
    </row>
    <row r="150" ht="15" customHeight="1">
      <c r="A150" t="inlineStr">
        <is>
          <t>A 29710-2024</t>
        </is>
      </c>
      <c r="B150" s="1" t="n">
        <v>45485</v>
      </c>
      <c r="C150" s="1" t="n">
        <v>46046</v>
      </c>
      <c r="D150" t="inlineStr">
        <is>
          <t>JÄMTLANDS LÄN</t>
        </is>
      </c>
      <c r="E150" t="inlineStr">
        <is>
          <t>HÄRJEDALEN</t>
        </is>
      </c>
      <c r="F150" t="inlineStr">
        <is>
          <t>Holmen skog AB</t>
        </is>
      </c>
      <c r="G150" t="n">
        <v>4</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29710-2024 artfynd.xlsx", "A 29710-2024")</f>
        <v/>
      </c>
      <c r="T150">
        <f>HYPERLINK("https://klasma.github.io/Logging_2361/kartor/A 29710-2024 karta.png", "A 29710-2024")</f>
        <v/>
      </c>
      <c r="V150">
        <f>HYPERLINK("https://klasma.github.io/Logging_2361/klagomål/A 29710-2024 FSC-klagomål.docx", "A 29710-2024")</f>
        <v/>
      </c>
      <c r="W150">
        <f>HYPERLINK("https://klasma.github.io/Logging_2361/klagomålsmail/A 29710-2024 FSC-klagomål mail.docx", "A 29710-2024")</f>
        <v/>
      </c>
      <c r="X150">
        <f>HYPERLINK("https://klasma.github.io/Logging_2361/tillsyn/A 29710-2024 tillsynsbegäran.docx", "A 29710-2024")</f>
        <v/>
      </c>
      <c r="Y150">
        <f>HYPERLINK("https://klasma.github.io/Logging_2361/tillsynsmail/A 29710-2024 tillsynsbegäran mail.docx", "A 29710-2024")</f>
        <v/>
      </c>
    </row>
    <row r="151" ht="15" customHeight="1">
      <c r="A151" t="inlineStr">
        <is>
          <t>A 29717-2024</t>
        </is>
      </c>
      <c r="B151" s="1" t="n">
        <v>45485</v>
      </c>
      <c r="C151" s="1" t="n">
        <v>46046</v>
      </c>
      <c r="D151" t="inlineStr">
        <is>
          <t>JÄMTLANDS LÄN</t>
        </is>
      </c>
      <c r="E151" t="inlineStr">
        <is>
          <t>HÄRJEDALEN</t>
        </is>
      </c>
      <c r="F151" t="inlineStr">
        <is>
          <t>Holmen skog AB</t>
        </is>
      </c>
      <c r="G151" t="n">
        <v>25.7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29717-2024 artfynd.xlsx", "A 29717-2024")</f>
        <v/>
      </c>
      <c r="T151">
        <f>HYPERLINK("https://klasma.github.io/Logging_2361/kartor/A 29717-2024 karta.png", "A 29717-2024")</f>
        <v/>
      </c>
      <c r="V151">
        <f>HYPERLINK("https://klasma.github.io/Logging_2361/klagomål/A 29717-2024 FSC-klagomål.docx", "A 29717-2024")</f>
        <v/>
      </c>
      <c r="W151">
        <f>HYPERLINK("https://klasma.github.io/Logging_2361/klagomålsmail/A 29717-2024 FSC-klagomål mail.docx", "A 29717-2024")</f>
        <v/>
      </c>
      <c r="X151">
        <f>HYPERLINK("https://klasma.github.io/Logging_2361/tillsyn/A 29717-2024 tillsynsbegäran.docx", "A 29717-2024")</f>
        <v/>
      </c>
      <c r="Y151">
        <f>HYPERLINK("https://klasma.github.io/Logging_2361/tillsynsmail/A 29717-2024 tillsynsbegäran mail.docx", "A 29717-2024")</f>
        <v/>
      </c>
    </row>
    <row r="152" ht="15" customHeight="1">
      <c r="A152" t="inlineStr">
        <is>
          <t>A 48065-2021</t>
        </is>
      </c>
      <c r="B152" s="1" t="n">
        <v>44449</v>
      </c>
      <c r="C152" s="1" t="n">
        <v>46046</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46046</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46046</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5781-2025</t>
        </is>
      </c>
      <c r="B155" s="1" t="n">
        <v>45694</v>
      </c>
      <c r="C155" s="1" t="n">
        <v>46046</v>
      </c>
      <c r="D155" t="inlineStr">
        <is>
          <t>JÄMTLANDS LÄN</t>
        </is>
      </c>
      <c r="E155" t="inlineStr">
        <is>
          <t>HÄRJEDALEN</t>
        </is>
      </c>
      <c r="G155" t="n">
        <v>10.1</v>
      </c>
      <c r="H155" t="n">
        <v>0</v>
      </c>
      <c r="I155" t="n">
        <v>0</v>
      </c>
      <c r="J155" t="n">
        <v>2</v>
      </c>
      <c r="K155" t="n">
        <v>0</v>
      </c>
      <c r="L155" t="n">
        <v>0</v>
      </c>
      <c r="M155" t="n">
        <v>0</v>
      </c>
      <c r="N155" t="n">
        <v>0</v>
      </c>
      <c r="O155" t="n">
        <v>2</v>
      </c>
      <c r="P155" t="n">
        <v>0</v>
      </c>
      <c r="Q155" t="n">
        <v>2</v>
      </c>
      <c r="R155" s="2" t="inlineStr">
        <is>
          <t>Garnlav
Harticka</t>
        </is>
      </c>
      <c r="S155">
        <f>HYPERLINK("https://klasma.github.io/Logging_2361/artfynd/A 5781-2025 artfynd.xlsx", "A 5781-2025")</f>
        <v/>
      </c>
      <c r="T155">
        <f>HYPERLINK("https://klasma.github.io/Logging_2361/kartor/A 5781-2025 karta.png", "A 5781-2025")</f>
        <v/>
      </c>
      <c r="V155">
        <f>HYPERLINK("https://klasma.github.io/Logging_2361/klagomål/A 5781-2025 FSC-klagomål.docx", "A 5781-2025")</f>
        <v/>
      </c>
      <c r="W155">
        <f>HYPERLINK("https://klasma.github.io/Logging_2361/klagomålsmail/A 5781-2025 FSC-klagomål mail.docx", "A 5781-2025")</f>
        <v/>
      </c>
      <c r="X155">
        <f>HYPERLINK("https://klasma.github.io/Logging_2361/tillsyn/A 5781-2025 tillsynsbegäran.docx", "A 5781-2025")</f>
        <v/>
      </c>
      <c r="Y155">
        <f>HYPERLINK("https://klasma.github.io/Logging_2361/tillsynsmail/A 5781-2025 tillsynsbegäran mail.docx", "A 5781-2025")</f>
        <v/>
      </c>
    </row>
    <row r="156" ht="15" customHeight="1">
      <c r="A156" t="inlineStr">
        <is>
          <t>A 37572-2025</t>
        </is>
      </c>
      <c r="B156" s="1" t="n">
        <v>45880.37559027778</v>
      </c>
      <c r="C156" s="1" t="n">
        <v>46046</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40789-2025</t>
        </is>
      </c>
      <c r="B157" s="1" t="n">
        <v>45897.44645833333</v>
      </c>
      <c r="C157" s="1" t="n">
        <v>46046</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42600-2025</t>
        </is>
      </c>
      <c r="B158" s="1" t="n">
        <v>45905.66966435185</v>
      </c>
      <c r="C158" s="1" t="n">
        <v>46046</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55240-2021</t>
        </is>
      </c>
      <c r="B159" s="1" t="n">
        <v>44475</v>
      </c>
      <c r="C159" s="1" t="n">
        <v>46046</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48303-2025</t>
        </is>
      </c>
      <c r="B160" s="1" t="n">
        <v>45933.61240740741</v>
      </c>
      <c r="C160" s="1" t="n">
        <v>46046</v>
      </c>
      <c r="D160" t="inlineStr">
        <is>
          <t>JÄMTLANDS LÄN</t>
        </is>
      </c>
      <c r="E160" t="inlineStr">
        <is>
          <t>HÄRJEDALEN</t>
        </is>
      </c>
      <c r="F160" t="inlineStr">
        <is>
          <t>Sveaskog</t>
        </is>
      </c>
      <c r="G160" t="n">
        <v>3.7</v>
      </c>
      <c r="H160" t="n">
        <v>0</v>
      </c>
      <c r="I160" t="n">
        <v>0</v>
      </c>
      <c r="J160" t="n">
        <v>2</v>
      </c>
      <c r="K160" t="n">
        <v>0</v>
      </c>
      <c r="L160" t="n">
        <v>0</v>
      </c>
      <c r="M160" t="n">
        <v>0</v>
      </c>
      <c r="N160" t="n">
        <v>0</v>
      </c>
      <c r="O160" t="n">
        <v>2</v>
      </c>
      <c r="P160" t="n">
        <v>0</v>
      </c>
      <c r="Q160" t="n">
        <v>2</v>
      </c>
      <c r="R160" s="2" t="inlineStr">
        <is>
          <t>Garnlav
Kolflarnlav</t>
        </is>
      </c>
      <c r="S160">
        <f>HYPERLINK("https://klasma.github.io/Logging_2361/artfynd/A 48303-2025 artfynd.xlsx", "A 48303-2025")</f>
        <v/>
      </c>
      <c r="T160">
        <f>HYPERLINK("https://klasma.github.io/Logging_2361/kartor/A 48303-2025 karta.png", "A 48303-2025")</f>
        <v/>
      </c>
      <c r="V160">
        <f>HYPERLINK("https://klasma.github.io/Logging_2361/klagomål/A 48303-2025 FSC-klagomål.docx", "A 48303-2025")</f>
        <v/>
      </c>
      <c r="W160">
        <f>HYPERLINK("https://klasma.github.io/Logging_2361/klagomålsmail/A 48303-2025 FSC-klagomål mail.docx", "A 48303-2025")</f>
        <v/>
      </c>
      <c r="X160">
        <f>HYPERLINK("https://klasma.github.io/Logging_2361/tillsyn/A 48303-2025 tillsynsbegäran.docx", "A 48303-2025")</f>
        <v/>
      </c>
      <c r="Y160">
        <f>HYPERLINK("https://klasma.github.io/Logging_2361/tillsynsmail/A 48303-2025 tillsynsbegäran mail.docx", "A 48303-2025")</f>
        <v/>
      </c>
    </row>
    <row r="161" ht="15" customHeight="1">
      <c r="A161" t="inlineStr">
        <is>
          <t>A 21816-2024</t>
        </is>
      </c>
      <c r="B161" s="1" t="n">
        <v>45442</v>
      </c>
      <c r="C161" s="1" t="n">
        <v>46046</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56616-2025</t>
        </is>
      </c>
      <c r="B162" s="1" t="n">
        <v>45975.59357638889</v>
      </c>
      <c r="C162" s="1" t="n">
        <v>46046</v>
      </c>
      <c r="D162" t="inlineStr">
        <is>
          <t>JÄMTLANDS LÄN</t>
        </is>
      </c>
      <c r="E162" t="inlineStr">
        <is>
          <t>HÄRJEDALEN</t>
        </is>
      </c>
      <c r="F162" t="inlineStr">
        <is>
          <t>Bergvik skog väst AB</t>
        </is>
      </c>
      <c r="G162" t="n">
        <v>6.6</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56616-2025 artfynd.xlsx", "A 56616-2025")</f>
        <v/>
      </c>
      <c r="T162">
        <f>HYPERLINK("https://klasma.github.io/Logging_2361/kartor/A 56616-2025 karta.png", "A 56616-2025")</f>
        <v/>
      </c>
      <c r="U162">
        <f>HYPERLINK("https://klasma.github.io/Logging_2361/knärot/A 56616-2025 karta knärot.png", "A 56616-2025")</f>
        <v/>
      </c>
      <c r="V162">
        <f>HYPERLINK("https://klasma.github.io/Logging_2361/klagomål/A 56616-2025 FSC-klagomål.docx", "A 56616-2025")</f>
        <v/>
      </c>
      <c r="W162">
        <f>HYPERLINK("https://klasma.github.io/Logging_2361/klagomålsmail/A 56616-2025 FSC-klagomål mail.docx", "A 56616-2025")</f>
        <v/>
      </c>
      <c r="X162">
        <f>HYPERLINK("https://klasma.github.io/Logging_2361/tillsyn/A 56616-2025 tillsynsbegäran.docx", "A 56616-2025")</f>
        <v/>
      </c>
      <c r="Y162">
        <f>HYPERLINK("https://klasma.github.io/Logging_2361/tillsynsmail/A 56616-2025 tillsynsbegäran mail.docx", "A 56616-2025")</f>
        <v/>
      </c>
    </row>
    <row r="163" ht="15" customHeight="1">
      <c r="A163" t="inlineStr">
        <is>
          <t>A 64110-2025</t>
        </is>
      </c>
      <c r="B163" s="1" t="n">
        <v>46013</v>
      </c>
      <c r="C163" s="1" t="n">
        <v>46046</v>
      </c>
      <c r="D163" t="inlineStr">
        <is>
          <t>JÄMTLANDS LÄN</t>
        </is>
      </c>
      <c r="E163" t="inlineStr">
        <is>
          <t>HÄRJEDALEN</t>
        </is>
      </c>
      <c r="G163" t="n">
        <v>3.6</v>
      </c>
      <c r="H163" t="n">
        <v>0</v>
      </c>
      <c r="I163" t="n">
        <v>0</v>
      </c>
      <c r="J163" t="n">
        <v>2</v>
      </c>
      <c r="K163" t="n">
        <v>0</v>
      </c>
      <c r="L163" t="n">
        <v>0</v>
      </c>
      <c r="M163" t="n">
        <v>0</v>
      </c>
      <c r="N163" t="n">
        <v>0</v>
      </c>
      <c r="O163" t="n">
        <v>2</v>
      </c>
      <c r="P163" t="n">
        <v>0</v>
      </c>
      <c r="Q163" t="n">
        <v>2</v>
      </c>
      <c r="R163" s="2" t="inlineStr">
        <is>
          <t>Knottrig blåslav
Lunglav</t>
        </is>
      </c>
      <c r="S163">
        <f>HYPERLINK("https://klasma.github.io/Logging_2361/artfynd/A 64110-2025 artfynd.xlsx", "A 64110-2025")</f>
        <v/>
      </c>
      <c r="T163">
        <f>HYPERLINK("https://klasma.github.io/Logging_2361/kartor/A 64110-2025 karta.png", "A 64110-2025")</f>
        <v/>
      </c>
      <c r="V163">
        <f>HYPERLINK("https://klasma.github.io/Logging_2361/klagomål/A 64110-2025 FSC-klagomål.docx", "A 64110-2025")</f>
        <v/>
      </c>
      <c r="W163">
        <f>HYPERLINK("https://klasma.github.io/Logging_2361/klagomålsmail/A 64110-2025 FSC-klagomål mail.docx", "A 64110-2025")</f>
        <v/>
      </c>
      <c r="X163">
        <f>HYPERLINK("https://klasma.github.io/Logging_2361/tillsyn/A 64110-2025 tillsynsbegäran.docx", "A 64110-2025")</f>
        <v/>
      </c>
      <c r="Y163">
        <f>HYPERLINK("https://klasma.github.io/Logging_2361/tillsynsmail/A 64110-2025 tillsynsbegäran mail.docx", "A 64110-2025")</f>
        <v/>
      </c>
    </row>
    <row r="164" ht="15" customHeight="1">
      <c r="A164" t="inlineStr">
        <is>
          <t>A 313-2026</t>
        </is>
      </c>
      <c r="B164" s="1" t="n">
        <v>46027.55914351852</v>
      </c>
      <c r="C164" s="1" t="n">
        <v>46046</v>
      </c>
      <c r="D164" t="inlineStr">
        <is>
          <t>JÄMTLANDS LÄN</t>
        </is>
      </c>
      <c r="E164" t="inlineStr">
        <is>
          <t>HÄRJEDALEN</t>
        </is>
      </c>
      <c r="F164" t="inlineStr">
        <is>
          <t>Holmen skog AB</t>
        </is>
      </c>
      <c r="G164" t="n">
        <v>7.8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313-2026 artfynd.xlsx", "A 313-2026")</f>
        <v/>
      </c>
      <c r="T164">
        <f>HYPERLINK("https://klasma.github.io/Logging_2361/kartor/A 313-2026 karta.png", "A 313-2026")</f>
        <v/>
      </c>
      <c r="V164">
        <f>HYPERLINK("https://klasma.github.io/Logging_2361/klagomål/A 313-2026 FSC-klagomål.docx", "A 313-2026")</f>
        <v/>
      </c>
      <c r="W164">
        <f>HYPERLINK("https://klasma.github.io/Logging_2361/klagomålsmail/A 313-2026 FSC-klagomål mail.docx", "A 313-2026")</f>
        <v/>
      </c>
      <c r="X164">
        <f>HYPERLINK("https://klasma.github.io/Logging_2361/tillsyn/A 313-2026 tillsynsbegäran.docx", "A 313-2026")</f>
        <v/>
      </c>
      <c r="Y164">
        <f>HYPERLINK("https://klasma.github.io/Logging_2361/tillsynsmail/A 313-2026 tillsynsbegäran mail.docx", "A 313-2026")</f>
        <v/>
      </c>
    </row>
    <row r="165" ht="15" customHeight="1">
      <c r="A165" t="inlineStr">
        <is>
          <t>A 59119-2025</t>
        </is>
      </c>
      <c r="B165" s="1" t="n">
        <v>45988.49024305555</v>
      </c>
      <c r="C165" s="1" t="n">
        <v>46046</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31414-2025</t>
        </is>
      </c>
      <c r="B166" s="1" t="n">
        <v>45833</v>
      </c>
      <c r="C166" s="1" t="n">
        <v>46046</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55221-2021</t>
        </is>
      </c>
      <c r="B167" s="1" t="n">
        <v>44475</v>
      </c>
      <c r="C167" s="1" t="n">
        <v>46046</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46046</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46046</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46046</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12274-2025</t>
        </is>
      </c>
      <c r="B171" s="1" t="n">
        <v>45729.64623842593</v>
      </c>
      <c r="C171" s="1" t="n">
        <v>46046</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46046</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46046</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46046</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46046</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46046</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25368-2025</t>
        </is>
      </c>
      <c r="B177" s="1" t="n">
        <v>45800.63043981481</v>
      </c>
      <c r="C177" s="1" t="n">
        <v>46046</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46046</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46046</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51234-2024</t>
        </is>
      </c>
      <c r="B180" s="1" t="n">
        <v>45603</v>
      </c>
      <c r="C180" s="1" t="n">
        <v>46046</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46046</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23680-2024</t>
        </is>
      </c>
      <c r="B182" s="1" t="n">
        <v>45454.62443287037</v>
      </c>
      <c r="C182" s="1" t="n">
        <v>46046</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46046</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7318-2024</t>
        </is>
      </c>
      <c r="B184" s="1" t="n">
        <v>45345</v>
      </c>
      <c r="C184" s="1" t="n">
        <v>46046</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31061-2022</t>
        </is>
      </c>
      <c r="B185" s="1" t="n">
        <v>44769.48783564815</v>
      </c>
      <c r="C185" s="1" t="n">
        <v>46046</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23331-2025</t>
        </is>
      </c>
      <c r="B186" s="1" t="n">
        <v>45791</v>
      </c>
      <c r="C186" s="1" t="n">
        <v>46046</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59367-2024</t>
        </is>
      </c>
      <c r="B187" s="1" t="n">
        <v>45638.33607638889</v>
      </c>
      <c r="C187" s="1" t="n">
        <v>46046</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3593-2024</t>
        </is>
      </c>
      <c r="B188" s="1" t="n">
        <v>45320</v>
      </c>
      <c r="C188" s="1" t="n">
        <v>46046</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32310-2025</t>
        </is>
      </c>
      <c r="B189" s="1" t="n">
        <v>45835.7499537037</v>
      </c>
      <c r="C189" s="1" t="n">
        <v>46046</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46046</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24251-2024</t>
        </is>
      </c>
      <c r="B191" s="1" t="n">
        <v>45457.38677083333</v>
      </c>
      <c r="C191" s="1" t="n">
        <v>46046</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46046</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39362-2025</t>
        </is>
      </c>
      <c r="B193" s="1" t="n">
        <v>45889.56214120371</v>
      </c>
      <c r="C193" s="1" t="n">
        <v>46046</v>
      </c>
      <c r="D193" t="inlineStr">
        <is>
          <t>JÄMTLANDS LÄN</t>
        </is>
      </c>
      <c r="E193" t="inlineStr">
        <is>
          <t>HÄRJEDALEN</t>
        </is>
      </c>
      <c r="F193" t="inlineStr">
        <is>
          <t>Sveaskog</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39362-2025 artfynd.xlsx", "A 39362-2025")</f>
        <v/>
      </c>
      <c r="T193">
        <f>HYPERLINK("https://klasma.github.io/Logging_2361/kartor/A 39362-2025 karta.png", "A 39362-2025")</f>
        <v/>
      </c>
      <c r="V193">
        <f>HYPERLINK("https://klasma.github.io/Logging_2361/klagomål/A 39362-2025 FSC-klagomål.docx", "A 39362-2025")</f>
        <v/>
      </c>
      <c r="W193">
        <f>HYPERLINK("https://klasma.github.io/Logging_2361/klagomålsmail/A 39362-2025 FSC-klagomål mail.docx", "A 39362-2025")</f>
        <v/>
      </c>
      <c r="X193">
        <f>HYPERLINK("https://klasma.github.io/Logging_2361/tillsyn/A 39362-2025 tillsynsbegäran.docx", "A 39362-2025")</f>
        <v/>
      </c>
      <c r="Y193">
        <f>HYPERLINK("https://klasma.github.io/Logging_2361/tillsynsmail/A 39362-2025 tillsynsbegäran mail.docx", "A 39362-2025")</f>
        <v/>
      </c>
    </row>
    <row r="194" ht="15" customHeight="1">
      <c r="A194" t="inlineStr">
        <is>
          <t>A 17902-2025</t>
        </is>
      </c>
      <c r="B194" s="1" t="n">
        <v>45758.70164351852</v>
      </c>
      <c r="C194" s="1" t="n">
        <v>46046</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43322-2025</t>
        </is>
      </c>
      <c r="B195" s="1" t="n">
        <v>45910.66347222222</v>
      </c>
      <c r="C195" s="1" t="n">
        <v>46046</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55135-2024</t>
        </is>
      </c>
      <c r="B196" s="1" t="n">
        <v>45621.47555555555</v>
      </c>
      <c r="C196" s="1" t="n">
        <v>46046</v>
      </c>
      <c r="D196" t="inlineStr">
        <is>
          <t>JÄMTLANDS LÄN</t>
        </is>
      </c>
      <c r="E196" t="inlineStr">
        <is>
          <t>HÄRJEDALEN</t>
        </is>
      </c>
      <c r="F196" t="inlineStr">
        <is>
          <t>Sveaskog</t>
        </is>
      </c>
      <c r="G196" t="n">
        <v>12.6</v>
      </c>
      <c r="H196" t="n">
        <v>0</v>
      </c>
      <c r="I196" t="n">
        <v>1</v>
      </c>
      <c r="J196" t="n">
        <v>0</v>
      </c>
      <c r="K196" t="n">
        <v>0</v>
      </c>
      <c r="L196" t="n">
        <v>0</v>
      </c>
      <c r="M196" t="n">
        <v>0</v>
      </c>
      <c r="N196" t="n">
        <v>0</v>
      </c>
      <c r="O196" t="n">
        <v>0</v>
      </c>
      <c r="P196" t="n">
        <v>0</v>
      </c>
      <c r="Q196" t="n">
        <v>1</v>
      </c>
      <c r="R196" s="2" t="inlineStr">
        <is>
          <t>Skarp dropptaggsvamp</t>
        </is>
      </c>
      <c r="S196">
        <f>HYPERLINK("https://klasma.github.io/Logging_2361/artfynd/A 55135-2024 artfynd.xlsx", "A 55135-2024")</f>
        <v/>
      </c>
      <c r="T196">
        <f>HYPERLINK("https://klasma.github.io/Logging_2361/kartor/A 55135-2024 karta.png", "A 55135-2024")</f>
        <v/>
      </c>
      <c r="V196">
        <f>HYPERLINK("https://klasma.github.io/Logging_2361/klagomål/A 55135-2024 FSC-klagomål.docx", "A 55135-2024")</f>
        <v/>
      </c>
      <c r="W196">
        <f>HYPERLINK("https://klasma.github.io/Logging_2361/klagomålsmail/A 55135-2024 FSC-klagomål mail.docx", "A 55135-2024")</f>
        <v/>
      </c>
      <c r="X196">
        <f>HYPERLINK("https://klasma.github.io/Logging_2361/tillsyn/A 55135-2024 tillsynsbegäran.docx", "A 55135-2024")</f>
        <v/>
      </c>
      <c r="Y196">
        <f>HYPERLINK("https://klasma.github.io/Logging_2361/tillsynsmail/A 55135-2024 tillsynsbegäran mail.docx", "A 55135-2024")</f>
        <v/>
      </c>
    </row>
    <row r="197" ht="15" customHeight="1">
      <c r="A197" t="inlineStr">
        <is>
          <t>A 55582-2024</t>
        </is>
      </c>
      <c r="B197" s="1" t="n">
        <v>45622</v>
      </c>
      <c r="C197" s="1" t="n">
        <v>46046</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7327-2024</t>
        </is>
      </c>
      <c r="B198" s="1" t="n">
        <v>45345</v>
      </c>
      <c r="C198" s="1" t="n">
        <v>46046</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48281-2025</t>
        </is>
      </c>
      <c r="B199" s="1" t="n">
        <v>45933.58802083333</v>
      </c>
      <c r="C199" s="1" t="n">
        <v>46046</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52307-2025</t>
        </is>
      </c>
      <c r="B200" s="1" t="n">
        <v>45953.63997685185</v>
      </c>
      <c r="C200" s="1" t="n">
        <v>46046</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56521-2025</t>
        </is>
      </c>
      <c r="B201" s="1" t="n">
        <v>45975.46076388889</v>
      </c>
      <c r="C201" s="1" t="n">
        <v>46046</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46046</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36533-2025</t>
        </is>
      </c>
      <c r="B203" s="1" t="n">
        <v>45869</v>
      </c>
      <c r="C203" s="1" t="n">
        <v>46046</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21334-2021</t>
        </is>
      </c>
      <c r="B204" s="1" t="n">
        <v>44320</v>
      </c>
      <c r="C204" s="1" t="n">
        <v>46046</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21833-2021</t>
        </is>
      </c>
      <c r="B205" s="1" t="n">
        <v>44316</v>
      </c>
      <c r="C205" s="1" t="n">
        <v>46046</v>
      </c>
      <c r="D205" t="inlineStr">
        <is>
          <t>JÄMTLANDS LÄN</t>
        </is>
      </c>
      <c r="E205" t="inlineStr">
        <is>
          <t>HÄRJEDALEN</t>
        </is>
      </c>
      <c r="G205" t="n">
        <v>20.2</v>
      </c>
      <c r="H205" t="n">
        <v>0</v>
      </c>
      <c r="I205" t="n">
        <v>0</v>
      </c>
      <c r="J205" t="n">
        <v>0</v>
      </c>
      <c r="K205" t="n">
        <v>0</v>
      </c>
      <c r="L205" t="n">
        <v>0</v>
      </c>
      <c r="M205" t="n">
        <v>0</v>
      </c>
      <c r="N205" t="n">
        <v>0</v>
      </c>
      <c r="O205" t="n">
        <v>0</v>
      </c>
      <c r="P205" t="n">
        <v>0</v>
      </c>
      <c r="Q205" t="n">
        <v>0</v>
      </c>
      <c r="R205" s="2" t="inlineStr"/>
    </row>
    <row r="206" ht="15" customHeight="1">
      <c r="A206" t="inlineStr">
        <is>
          <t>A 21298-2021</t>
        </is>
      </c>
      <c r="B206" s="1" t="n">
        <v>44320</v>
      </c>
      <c r="C206" s="1" t="n">
        <v>46046</v>
      </c>
      <c r="D206" t="inlineStr">
        <is>
          <t>JÄMTLANDS LÄN</t>
        </is>
      </c>
      <c r="E206" t="inlineStr">
        <is>
          <t>HÄRJEDALEN</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24690-2022</t>
        </is>
      </c>
      <c r="B207" s="1" t="n">
        <v>44727.70908564814</v>
      </c>
      <c r="C207" s="1" t="n">
        <v>46046</v>
      </c>
      <c r="D207" t="inlineStr">
        <is>
          <t>JÄMTLANDS LÄN</t>
        </is>
      </c>
      <c r="E207" t="inlineStr">
        <is>
          <t>HÄRJEDALEN</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46046</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71756-2021</t>
        </is>
      </c>
      <c r="B209" s="1" t="n">
        <v>44543</v>
      </c>
      <c r="C209" s="1" t="n">
        <v>46046</v>
      </c>
      <c r="D209" t="inlineStr">
        <is>
          <t>JÄMTLANDS LÄN</t>
        </is>
      </c>
      <c r="E209" t="inlineStr">
        <is>
          <t>HÄRJEDALEN</t>
        </is>
      </c>
      <c r="G209" t="n">
        <v>2.4</v>
      </c>
      <c r="H209" t="n">
        <v>0</v>
      </c>
      <c r="I209" t="n">
        <v>0</v>
      </c>
      <c r="J209" t="n">
        <v>0</v>
      </c>
      <c r="K209" t="n">
        <v>0</v>
      </c>
      <c r="L209" t="n">
        <v>0</v>
      </c>
      <c r="M209" t="n">
        <v>0</v>
      </c>
      <c r="N209" t="n">
        <v>0</v>
      </c>
      <c r="O209" t="n">
        <v>0</v>
      </c>
      <c r="P209" t="n">
        <v>0</v>
      </c>
      <c r="Q209" t="n">
        <v>0</v>
      </c>
      <c r="R209" s="2" t="inlineStr"/>
    </row>
    <row r="210" ht="15" customHeight="1">
      <c r="A210" t="inlineStr">
        <is>
          <t>A 8823-2022</t>
        </is>
      </c>
      <c r="B210" s="1" t="n">
        <v>44614</v>
      </c>
      <c r="C210" s="1" t="n">
        <v>46046</v>
      </c>
      <c r="D210" t="inlineStr">
        <is>
          <t>JÄMTLANDS LÄN</t>
        </is>
      </c>
      <c r="E210" t="inlineStr">
        <is>
          <t>HÄRJEDALEN</t>
        </is>
      </c>
      <c r="F210" t="inlineStr">
        <is>
          <t>Naturvårdsverket</t>
        </is>
      </c>
      <c r="G210" t="n">
        <v>23.7</v>
      </c>
      <c r="H210" t="n">
        <v>0</v>
      </c>
      <c r="I210" t="n">
        <v>0</v>
      </c>
      <c r="J210" t="n">
        <v>0</v>
      </c>
      <c r="K210" t="n">
        <v>0</v>
      </c>
      <c r="L210" t="n">
        <v>0</v>
      </c>
      <c r="M210" t="n">
        <v>0</v>
      </c>
      <c r="N210" t="n">
        <v>0</v>
      </c>
      <c r="O210" t="n">
        <v>0</v>
      </c>
      <c r="P210" t="n">
        <v>0</v>
      </c>
      <c r="Q210" t="n">
        <v>0</v>
      </c>
      <c r="R210" s="2" t="inlineStr"/>
    </row>
    <row r="211" ht="15" customHeight="1">
      <c r="A211" t="inlineStr">
        <is>
          <t>A 38001-2021</t>
        </is>
      </c>
      <c r="B211" s="1" t="n">
        <v>44404</v>
      </c>
      <c r="C211" s="1" t="n">
        <v>46046</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39631-2021</t>
        </is>
      </c>
      <c r="B212" s="1" t="n">
        <v>44417.38271990741</v>
      </c>
      <c r="C212" s="1" t="n">
        <v>46046</v>
      </c>
      <c r="D212" t="inlineStr">
        <is>
          <t>JÄMTLANDS LÄN</t>
        </is>
      </c>
      <c r="E212" t="inlineStr">
        <is>
          <t>HÄRJEDALEN</t>
        </is>
      </c>
      <c r="G212" t="n">
        <v>4.3</v>
      </c>
      <c r="H212" t="n">
        <v>0</v>
      </c>
      <c r="I212" t="n">
        <v>0</v>
      </c>
      <c r="J212" t="n">
        <v>0</v>
      </c>
      <c r="K212" t="n">
        <v>0</v>
      </c>
      <c r="L212" t="n">
        <v>0</v>
      </c>
      <c r="M212" t="n">
        <v>0</v>
      </c>
      <c r="N212" t="n">
        <v>0</v>
      </c>
      <c r="O212" t="n">
        <v>0</v>
      </c>
      <c r="P212" t="n">
        <v>0</v>
      </c>
      <c r="Q212" t="n">
        <v>0</v>
      </c>
      <c r="R212" s="2" t="inlineStr"/>
    </row>
    <row r="213" ht="15" customHeight="1">
      <c r="A213" t="inlineStr">
        <is>
          <t>A 39636-2021</t>
        </is>
      </c>
      <c r="B213" s="1" t="n">
        <v>44417.38614583333</v>
      </c>
      <c r="C213" s="1" t="n">
        <v>46046</v>
      </c>
      <c r="D213" t="inlineStr">
        <is>
          <t>JÄMTLANDS LÄN</t>
        </is>
      </c>
      <c r="E213" t="inlineStr">
        <is>
          <t>HÄRJEDALEN</t>
        </is>
      </c>
      <c r="G213" t="n">
        <v>0.7</v>
      </c>
      <c r="H213" t="n">
        <v>0</v>
      </c>
      <c r="I213" t="n">
        <v>0</v>
      </c>
      <c r="J213" t="n">
        <v>0</v>
      </c>
      <c r="K213" t="n">
        <v>0</v>
      </c>
      <c r="L213" t="n">
        <v>0</v>
      </c>
      <c r="M213" t="n">
        <v>0</v>
      </c>
      <c r="N213" t="n">
        <v>0</v>
      </c>
      <c r="O213" t="n">
        <v>0</v>
      </c>
      <c r="P213" t="n">
        <v>0</v>
      </c>
      <c r="Q213" t="n">
        <v>0</v>
      </c>
      <c r="R213" s="2" t="inlineStr"/>
    </row>
    <row r="214" ht="15" customHeight="1">
      <c r="A214" t="inlineStr">
        <is>
          <t>A 60841-2021</t>
        </is>
      </c>
      <c r="B214" s="1" t="n">
        <v>44497</v>
      </c>
      <c r="C214" s="1" t="n">
        <v>46046</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55215-2021</t>
        </is>
      </c>
      <c r="B215" s="1" t="n">
        <v>44475</v>
      </c>
      <c r="C215" s="1" t="n">
        <v>46046</v>
      </c>
      <c r="D215" t="inlineStr">
        <is>
          <t>JÄMTLANDS LÄN</t>
        </is>
      </c>
      <c r="E215" t="inlineStr">
        <is>
          <t>HÄRJEDALEN</t>
        </is>
      </c>
      <c r="G215" t="n">
        <v>3.9</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46046</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46046</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46046</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46046</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46046</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46046</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46046</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55393-2021</t>
        </is>
      </c>
      <c r="B223" s="1" t="n">
        <v>44475</v>
      </c>
      <c r="C223" s="1" t="n">
        <v>46046</v>
      </c>
      <c r="D223" t="inlineStr">
        <is>
          <t>JÄMTLANDS LÄN</t>
        </is>
      </c>
      <c r="E223" t="inlineStr">
        <is>
          <t>HÄRJEDALEN</t>
        </is>
      </c>
      <c r="G223" t="n">
        <v>3</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46046</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46046</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46046</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46046</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21837-2021</t>
        </is>
      </c>
      <c r="B228" s="1" t="n">
        <v>44316</v>
      </c>
      <c r="C228" s="1" t="n">
        <v>46046</v>
      </c>
      <c r="D228" t="inlineStr">
        <is>
          <t>JÄMTLANDS LÄN</t>
        </is>
      </c>
      <c r="E228" t="inlineStr">
        <is>
          <t>HÄRJEDALEN</t>
        </is>
      </c>
      <c r="G228" t="n">
        <v>20</v>
      </c>
      <c r="H228" t="n">
        <v>0</v>
      </c>
      <c r="I228" t="n">
        <v>0</v>
      </c>
      <c r="J228" t="n">
        <v>0</v>
      </c>
      <c r="K228" t="n">
        <v>0</v>
      </c>
      <c r="L228" t="n">
        <v>0</v>
      </c>
      <c r="M228" t="n">
        <v>0</v>
      </c>
      <c r="N228" t="n">
        <v>0</v>
      </c>
      <c r="O228" t="n">
        <v>0</v>
      </c>
      <c r="P228" t="n">
        <v>0</v>
      </c>
      <c r="Q228" t="n">
        <v>0</v>
      </c>
      <c r="R228" s="2" t="inlineStr"/>
    </row>
    <row r="229" ht="15" customHeight="1">
      <c r="A229" t="inlineStr">
        <is>
          <t>A 57381-2021</t>
        </is>
      </c>
      <c r="B229" s="1" t="n">
        <v>44483</v>
      </c>
      <c r="C229" s="1" t="n">
        <v>46046</v>
      </c>
      <c r="D229" t="inlineStr">
        <is>
          <t>JÄMTLANDS LÄN</t>
        </is>
      </c>
      <c r="E229" t="inlineStr">
        <is>
          <t>HÄRJEDALEN</t>
        </is>
      </c>
      <c r="G229" t="n">
        <v>17.9</v>
      </c>
      <c r="H229" t="n">
        <v>0</v>
      </c>
      <c r="I229" t="n">
        <v>0</v>
      </c>
      <c r="J229" t="n">
        <v>0</v>
      </c>
      <c r="K229" t="n">
        <v>0</v>
      </c>
      <c r="L229" t="n">
        <v>0</v>
      </c>
      <c r="M229" t="n">
        <v>0</v>
      </c>
      <c r="N229" t="n">
        <v>0</v>
      </c>
      <c r="O229" t="n">
        <v>0</v>
      </c>
      <c r="P229" t="n">
        <v>0</v>
      </c>
      <c r="Q229" t="n">
        <v>0</v>
      </c>
      <c r="R229" s="2" t="inlineStr"/>
    </row>
    <row r="230" ht="15" customHeight="1">
      <c r="A230" t="inlineStr">
        <is>
          <t>A 40808-2021</t>
        </is>
      </c>
      <c r="B230" s="1" t="n">
        <v>44421</v>
      </c>
      <c r="C230" s="1" t="n">
        <v>46046</v>
      </c>
      <c r="D230" t="inlineStr">
        <is>
          <t>JÄMTLANDS LÄN</t>
        </is>
      </c>
      <c r="E230" t="inlineStr">
        <is>
          <t>HÄRJEDALEN</t>
        </is>
      </c>
      <c r="G230" t="n">
        <v>0.5</v>
      </c>
      <c r="H230" t="n">
        <v>0</v>
      </c>
      <c r="I230" t="n">
        <v>0</v>
      </c>
      <c r="J230" t="n">
        <v>0</v>
      </c>
      <c r="K230" t="n">
        <v>0</v>
      </c>
      <c r="L230" t="n">
        <v>0</v>
      </c>
      <c r="M230" t="n">
        <v>0</v>
      </c>
      <c r="N230" t="n">
        <v>0</v>
      </c>
      <c r="O230" t="n">
        <v>0</v>
      </c>
      <c r="P230" t="n">
        <v>0</v>
      </c>
      <c r="Q230" t="n">
        <v>0</v>
      </c>
      <c r="R230" s="2" t="inlineStr"/>
    </row>
    <row r="231" ht="15" customHeight="1">
      <c r="A231" t="inlineStr">
        <is>
          <t>A 39950-2021</t>
        </is>
      </c>
      <c r="B231" s="1" t="n">
        <v>44418</v>
      </c>
      <c r="C231" s="1" t="n">
        <v>46046</v>
      </c>
      <c r="D231" t="inlineStr">
        <is>
          <t>JÄMTLANDS LÄN</t>
        </is>
      </c>
      <c r="E231" t="inlineStr">
        <is>
          <t>HÄRJEDALEN</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58451-2021</t>
        </is>
      </c>
      <c r="B232" s="1" t="n">
        <v>44488</v>
      </c>
      <c r="C232" s="1" t="n">
        <v>46046</v>
      </c>
      <c r="D232" t="inlineStr">
        <is>
          <t>JÄMTLANDS LÄN</t>
        </is>
      </c>
      <c r="E232" t="inlineStr">
        <is>
          <t>HÄRJEDALEN</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6941-2022</t>
        </is>
      </c>
      <c r="B233" s="1" t="n">
        <v>44603</v>
      </c>
      <c r="C233" s="1" t="n">
        <v>46046</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39951-2021</t>
        </is>
      </c>
      <c r="B234" s="1" t="n">
        <v>44418</v>
      </c>
      <c r="C234" s="1" t="n">
        <v>46046</v>
      </c>
      <c r="D234" t="inlineStr">
        <is>
          <t>JÄMTLANDS LÄN</t>
        </is>
      </c>
      <c r="E234" t="inlineStr">
        <is>
          <t>HÄRJEDALEN</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197-2022</t>
        </is>
      </c>
      <c r="B235" s="1" t="n">
        <v>44564.6747337963</v>
      </c>
      <c r="C235" s="1" t="n">
        <v>46046</v>
      </c>
      <c r="D235" t="inlineStr">
        <is>
          <t>JÄMTLANDS LÄN</t>
        </is>
      </c>
      <c r="E235" t="inlineStr">
        <is>
          <t>HÄRJEDALEN</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46046</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46046</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46046</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46046</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46046</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46046</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46046</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46046</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46046</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46046</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46046</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46046</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46046</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46046</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46046</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46046</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46046</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46046</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46046</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46046</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46046</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46046</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68858-2021</t>
        </is>
      </c>
      <c r="B258" s="1" t="n">
        <v>44530.40607638889</v>
      </c>
      <c r="C258" s="1" t="n">
        <v>46046</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46046</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46046</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54842-2021</t>
        </is>
      </c>
      <c r="B261" s="1" t="n">
        <v>44473</v>
      </c>
      <c r="C261" s="1" t="n">
        <v>46046</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21593-2021</t>
        </is>
      </c>
      <c r="B262" s="1" t="n">
        <v>44314</v>
      </c>
      <c r="C262" s="1" t="n">
        <v>46046</v>
      </c>
      <c r="D262" t="inlineStr">
        <is>
          <t>JÄMTLANDS LÄN</t>
        </is>
      </c>
      <c r="E262" t="inlineStr">
        <is>
          <t>HÄRJEDALEN</t>
        </is>
      </c>
      <c r="G262" t="n">
        <v>7.7</v>
      </c>
      <c r="H262" t="n">
        <v>0</v>
      </c>
      <c r="I262" t="n">
        <v>0</v>
      </c>
      <c r="J262" t="n">
        <v>0</v>
      </c>
      <c r="K262" t="n">
        <v>0</v>
      </c>
      <c r="L262" t="n">
        <v>0</v>
      </c>
      <c r="M262" t="n">
        <v>0</v>
      </c>
      <c r="N262" t="n">
        <v>0</v>
      </c>
      <c r="O262" t="n">
        <v>0</v>
      </c>
      <c r="P262" t="n">
        <v>0</v>
      </c>
      <c r="Q262" t="n">
        <v>0</v>
      </c>
      <c r="R262" s="2" t="inlineStr"/>
    </row>
    <row r="263" ht="15" customHeight="1">
      <c r="A263" t="inlineStr">
        <is>
          <t>A 23869-2021</t>
        </is>
      </c>
      <c r="B263" s="1" t="n">
        <v>44335.4837962963</v>
      </c>
      <c r="C263" s="1" t="n">
        <v>46046</v>
      </c>
      <c r="D263" t="inlineStr">
        <is>
          <t>JÄMTLANDS LÄN</t>
        </is>
      </c>
      <c r="E263" t="inlineStr">
        <is>
          <t>HÄRJEDALEN</t>
        </is>
      </c>
      <c r="G263" t="n">
        <v>15.3</v>
      </c>
      <c r="H263" t="n">
        <v>0</v>
      </c>
      <c r="I263" t="n">
        <v>0</v>
      </c>
      <c r="J263" t="n">
        <v>0</v>
      </c>
      <c r="K263" t="n">
        <v>0</v>
      </c>
      <c r="L263" t="n">
        <v>0</v>
      </c>
      <c r="M263" t="n">
        <v>0</v>
      </c>
      <c r="N263" t="n">
        <v>0</v>
      </c>
      <c r="O263" t="n">
        <v>0</v>
      </c>
      <c r="P263" t="n">
        <v>0</v>
      </c>
      <c r="Q263" t="n">
        <v>0</v>
      </c>
      <c r="R263" s="2" t="inlineStr"/>
    </row>
    <row r="264" ht="15" customHeight="1">
      <c r="A264" t="inlineStr">
        <is>
          <t>A 17187-2021</t>
        </is>
      </c>
      <c r="B264" s="1" t="n">
        <v>44298</v>
      </c>
      <c r="C264" s="1" t="n">
        <v>46046</v>
      </c>
      <c r="D264" t="inlineStr">
        <is>
          <t>JÄMTLANDS LÄN</t>
        </is>
      </c>
      <c r="E264" t="inlineStr">
        <is>
          <t>HÄRJEDALEN</t>
        </is>
      </c>
      <c r="G264" t="n">
        <v>20.1</v>
      </c>
      <c r="H264" t="n">
        <v>0</v>
      </c>
      <c r="I264" t="n">
        <v>0</v>
      </c>
      <c r="J264" t="n">
        <v>0</v>
      </c>
      <c r="K264" t="n">
        <v>0</v>
      </c>
      <c r="L264" t="n">
        <v>0</v>
      </c>
      <c r="M264" t="n">
        <v>0</v>
      </c>
      <c r="N264" t="n">
        <v>0</v>
      </c>
      <c r="O264" t="n">
        <v>0</v>
      </c>
      <c r="P264" t="n">
        <v>0</v>
      </c>
      <c r="Q264" t="n">
        <v>0</v>
      </c>
      <c r="R264" s="2" t="inlineStr"/>
    </row>
    <row r="265" ht="15" customHeight="1">
      <c r="A265" t="inlineStr">
        <is>
          <t>A 21610-2022</t>
        </is>
      </c>
      <c r="B265" s="1" t="n">
        <v>44706.66417824074</v>
      </c>
      <c r="C265" s="1" t="n">
        <v>46046</v>
      </c>
      <c r="D265" t="inlineStr">
        <is>
          <t>JÄMTLANDS LÄN</t>
        </is>
      </c>
      <c r="E265" t="inlineStr">
        <is>
          <t>HÄRJEDALEN</t>
        </is>
      </c>
      <c r="F265" t="inlineStr">
        <is>
          <t>Holmen skog AB</t>
        </is>
      </c>
      <c r="G265" t="n">
        <v>15.3</v>
      </c>
      <c r="H265" t="n">
        <v>0</v>
      </c>
      <c r="I265" t="n">
        <v>0</v>
      </c>
      <c r="J265" t="n">
        <v>0</v>
      </c>
      <c r="K265" t="n">
        <v>0</v>
      </c>
      <c r="L265" t="n">
        <v>0</v>
      </c>
      <c r="M265" t="n">
        <v>0</v>
      </c>
      <c r="N265" t="n">
        <v>0</v>
      </c>
      <c r="O265" t="n">
        <v>0</v>
      </c>
      <c r="P265" t="n">
        <v>0</v>
      </c>
      <c r="Q265" t="n">
        <v>0</v>
      </c>
      <c r="R265" s="2" t="inlineStr"/>
    </row>
    <row r="266" ht="15" customHeight="1">
      <c r="A266" t="inlineStr">
        <is>
          <t>A 71864-2021</t>
        </is>
      </c>
      <c r="B266" s="1" t="n">
        <v>44543</v>
      </c>
      <c r="C266" s="1" t="n">
        <v>46046</v>
      </c>
      <c r="D266" t="inlineStr">
        <is>
          <t>JÄMTLANDS LÄN</t>
        </is>
      </c>
      <c r="E266" t="inlineStr">
        <is>
          <t>HÄRJEDALEN</t>
        </is>
      </c>
      <c r="F266" t="inlineStr">
        <is>
          <t>Holmen skog AB</t>
        </is>
      </c>
      <c r="G266" t="n">
        <v>0.2</v>
      </c>
      <c r="H266" t="n">
        <v>0</v>
      </c>
      <c r="I266" t="n">
        <v>0</v>
      </c>
      <c r="J266" t="n">
        <v>0</v>
      </c>
      <c r="K266" t="n">
        <v>0</v>
      </c>
      <c r="L266" t="n">
        <v>0</v>
      </c>
      <c r="M266" t="n">
        <v>0</v>
      </c>
      <c r="N266" t="n">
        <v>0</v>
      </c>
      <c r="O266" t="n">
        <v>0</v>
      </c>
      <c r="P266" t="n">
        <v>0</v>
      </c>
      <c r="Q266" t="n">
        <v>0</v>
      </c>
      <c r="R266" s="2" t="inlineStr"/>
    </row>
    <row r="267" ht="15" customHeight="1">
      <c r="A267" t="inlineStr">
        <is>
          <t>A 55250-2021</t>
        </is>
      </c>
      <c r="B267" s="1" t="n">
        <v>44475</v>
      </c>
      <c r="C267" s="1" t="n">
        <v>46046</v>
      </c>
      <c r="D267" t="inlineStr">
        <is>
          <t>JÄMTLANDS LÄN</t>
        </is>
      </c>
      <c r="E267" t="inlineStr">
        <is>
          <t>HÄRJEDALEN</t>
        </is>
      </c>
      <c r="G267" t="n">
        <v>0.7</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46046</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46046</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36249-2022</t>
        </is>
      </c>
      <c r="B270" s="1" t="n">
        <v>44803</v>
      </c>
      <c r="C270" s="1" t="n">
        <v>46046</v>
      </c>
      <c r="D270" t="inlineStr">
        <is>
          <t>JÄMTLANDS LÄN</t>
        </is>
      </c>
      <c r="E270" t="inlineStr">
        <is>
          <t>HÄRJEDALEN</t>
        </is>
      </c>
      <c r="G270" t="n">
        <v>7.2</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46046</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24214-2022</t>
        </is>
      </c>
      <c r="B272" s="1" t="n">
        <v>44725</v>
      </c>
      <c r="C272" s="1" t="n">
        <v>46046</v>
      </c>
      <c r="D272" t="inlineStr">
        <is>
          <t>JÄMTLANDS LÄN</t>
        </is>
      </c>
      <c r="E272" t="inlineStr">
        <is>
          <t>HÄRJEDALEN</t>
        </is>
      </c>
      <c r="F272" t="inlineStr">
        <is>
          <t>Holmen skog AB</t>
        </is>
      </c>
      <c r="G272" t="n">
        <v>7.8</v>
      </c>
      <c r="H272" t="n">
        <v>0</v>
      </c>
      <c r="I272" t="n">
        <v>0</v>
      </c>
      <c r="J272" t="n">
        <v>0</v>
      </c>
      <c r="K272" t="n">
        <v>0</v>
      </c>
      <c r="L272" t="n">
        <v>0</v>
      </c>
      <c r="M272" t="n">
        <v>0</v>
      </c>
      <c r="N272" t="n">
        <v>0</v>
      </c>
      <c r="O272" t="n">
        <v>0</v>
      </c>
      <c r="P272" t="n">
        <v>0</v>
      </c>
      <c r="Q272" t="n">
        <v>0</v>
      </c>
      <c r="R272" s="2" t="inlineStr"/>
    </row>
    <row r="273" ht="15" customHeight="1">
      <c r="A273" t="inlineStr">
        <is>
          <t>A 11553-2022</t>
        </is>
      </c>
      <c r="B273" s="1" t="n">
        <v>44631.45398148148</v>
      </c>
      <c r="C273" s="1" t="n">
        <v>46046</v>
      </c>
      <c r="D273" t="inlineStr">
        <is>
          <t>JÄMTLANDS LÄN</t>
        </is>
      </c>
      <c r="E273" t="inlineStr">
        <is>
          <t>HÄRJEDALEN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46046</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39616-2021</t>
        </is>
      </c>
      <c r="B275" s="1" t="n">
        <v>44417.37207175926</v>
      </c>
      <c r="C275" s="1" t="n">
        <v>46046</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41164-2022</t>
        </is>
      </c>
      <c r="B276" s="1" t="n">
        <v>44825</v>
      </c>
      <c r="C276" s="1" t="n">
        <v>46046</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55379-2021</t>
        </is>
      </c>
      <c r="B277" s="1" t="n">
        <v>44475</v>
      </c>
      <c r="C277" s="1" t="n">
        <v>46046</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55384-2021</t>
        </is>
      </c>
      <c r="B278" s="1" t="n">
        <v>44475</v>
      </c>
      <c r="C278" s="1" t="n">
        <v>46046</v>
      </c>
      <c r="D278" t="inlineStr">
        <is>
          <t>JÄMTLANDS LÄN</t>
        </is>
      </c>
      <c r="E278" t="inlineStr">
        <is>
          <t>HÄRJEDALEN</t>
        </is>
      </c>
      <c r="G278" t="n">
        <v>0.3</v>
      </c>
      <c r="H278" t="n">
        <v>0</v>
      </c>
      <c r="I278" t="n">
        <v>0</v>
      </c>
      <c r="J278" t="n">
        <v>0</v>
      </c>
      <c r="K278" t="n">
        <v>0</v>
      </c>
      <c r="L278" t="n">
        <v>0</v>
      </c>
      <c r="M278" t="n">
        <v>0</v>
      </c>
      <c r="N278" t="n">
        <v>0</v>
      </c>
      <c r="O278" t="n">
        <v>0</v>
      </c>
      <c r="P278" t="n">
        <v>0</v>
      </c>
      <c r="Q278" t="n">
        <v>0</v>
      </c>
      <c r="R278" s="2" t="inlineStr"/>
    </row>
    <row r="279" ht="15" customHeight="1">
      <c r="A279" t="inlineStr">
        <is>
          <t>A 55385-2021</t>
        </is>
      </c>
      <c r="B279" s="1" t="n">
        <v>44475</v>
      </c>
      <c r="C279" s="1" t="n">
        <v>46046</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71989-2021</t>
        </is>
      </c>
      <c r="B280" s="1" t="n">
        <v>44544</v>
      </c>
      <c r="C280" s="1" t="n">
        <v>46046</v>
      </c>
      <c r="D280" t="inlineStr">
        <is>
          <t>JÄMTLANDS LÄN</t>
        </is>
      </c>
      <c r="E280" t="inlineStr">
        <is>
          <t>HÄRJEDALEN</t>
        </is>
      </c>
      <c r="F280" t="inlineStr">
        <is>
          <t>Holmen skog AB</t>
        </is>
      </c>
      <c r="G280" t="n">
        <v>0.3</v>
      </c>
      <c r="H280" t="n">
        <v>0</v>
      </c>
      <c r="I280" t="n">
        <v>0</v>
      </c>
      <c r="J280" t="n">
        <v>0</v>
      </c>
      <c r="K280" t="n">
        <v>0</v>
      </c>
      <c r="L280" t="n">
        <v>0</v>
      </c>
      <c r="M280" t="n">
        <v>0</v>
      </c>
      <c r="N280" t="n">
        <v>0</v>
      </c>
      <c r="O280" t="n">
        <v>0</v>
      </c>
      <c r="P280" t="n">
        <v>0</v>
      </c>
      <c r="Q280" t="n">
        <v>0</v>
      </c>
      <c r="R280" s="2" t="inlineStr"/>
    </row>
    <row r="281" ht="15" customHeight="1">
      <c r="A281" t="inlineStr">
        <is>
          <t>A 15594-2021</t>
        </is>
      </c>
      <c r="B281" s="1" t="n">
        <v>44285</v>
      </c>
      <c r="C281" s="1" t="n">
        <v>46046</v>
      </c>
      <c r="D281" t="inlineStr">
        <is>
          <t>JÄMTLANDS LÄN</t>
        </is>
      </c>
      <c r="E281" t="inlineStr">
        <is>
          <t>HÄRJEDALEN</t>
        </is>
      </c>
      <c r="G281" t="n">
        <v>28.5</v>
      </c>
      <c r="H281" t="n">
        <v>0</v>
      </c>
      <c r="I281" t="n">
        <v>0</v>
      </c>
      <c r="J281" t="n">
        <v>0</v>
      </c>
      <c r="K281" t="n">
        <v>0</v>
      </c>
      <c r="L281" t="n">
        <v>0</v>
      </c>
      <c r="M281" t="n">
        <v>0</v>
      </c>
      <c r="N281" t="n">
        <v>0</v>
      </c>
      <c r="O281" t="n">
        <v>0</v>
      </c>
      <c r="P281" t="n">
        <v>0</v>
      </c>
      <c r="Q281" t="n">
        <v>0</v>
      </c>
      <c r="R281" s="2" t="inlineStr"/>
    </row>
    <row r="282" ht="15" customHeight="1">
      <c r="A282" t="inlineStr">
        <is>
          <t>A 40497-2021</t>
        </is>
      </c>
      <c r="B282" s="1" t="n">
        <v>44420.33096064815</v>
      </c>
      <c r="C282" s="1" t="n">
        <v>46046</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37155-2021</t>
        </is>
      </c>
      <c r="B283" s="1" t="n">
        <v>44396</v>
      </c>
      <c r="C283" s="1" t="n">
        <v>46046</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44483.36435185185</v>
      </c>
      <c r="C284" s="1" t="n">
        <v>46046</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33424-2021</t>
        </is>
      </c>
      <c r="B285" s="1" t="n">
        <v>44377</v>
      </c>
      <c r="C285" s="1" t="n">
        <v>46046</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39611-2021</t>
        </is>
      </c>
      <c r="B286" s="1" t="n">
        <v>44417</v>
      </c>
      <c r="C286" s="1" t="n">
        <v>46046</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46046</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46046</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55517-2021</t>
        </is>
      </c>
      <c r="B289" s="1" t="n">
        <v>44475</v>
      </c>
      <c r="C289" s="1" t="n">
        <v>46046</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41978-2021</t>
        </is>
      </c>
      <c r="B290" s="1" t="n">
        <v>44426.45706018519</v>
      </c>
      <c r="C290" s="1" t="n">
        <v>46046</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46046</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30962-2022</t>
        </is>
      </c>
      <c r="B292" s="1" t="n">
        <v>44768.44859953703</v>
      </c>
      <c r="C292" s="1" t="n">
        <v>46046</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31212-2021</t>
        </is>
      </c>
      <c r="B293" s="1" t="n">
        <v>44368</v>
      </c>
      <c r="C293" s="1" t="n">
        <v>46046</v>
      </c>
      <c r="D293" t="inlineStr">
        <is>
          <t>JÄMTLANDS LÄN</t>
        </is>
      </c>
      <c r="E293" t="inlineStr">
        <is>
          <t>HÄRJEDALEN</t>
        </is>
      </c>
      <c r="G293" t="n">
        <v>5.5</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46046</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46046</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46046</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46046</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46046</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69504-2021</t>
        </is>
      </c>
      <c r="B299" s="1" t="n">
        <v>44531</v>
      </c>
      <c r="C299" s="1" t="n">
        <v>46046</v>
      </c>
      <c r="D299" t="inlineStr">
        <is>
          <t>JÄMTLANDS LÄN</t>
        </is>
      </c>
      <c r="E299" t="inlineStr">
        <is>
          <t>HÄRJEDALEN</t>
        </is>
      </c>
      <c r="G299" t="n">
        <v>11.5</v>
      </c>
      <c r="H299" t="n">
        <v>0</v>
      </c>
      <c r="I299" t="n">
        <v>0</v>
      </c>
      <c r="J299" t="n">
        <v>0</v>
      </c>
      <c r="K299" t="n">
        <v>0</v>
      </c>
      <c r="L299" t="n">
        <v>0</v>
      </c>
      <c r="M299" t="n">
        <v>0</v>
      </c>
      <c r="N299" t="n">
        <v>0</v>
      </c>
      <c r="O299" t="n">
        <v>0</v>
      </c>
      <c r="P299" t="n">
        <v>0</v>
      </c>
      <c r="Q299" t="n">
        <v>0</v>
      </c>
      <c r="R299" s="2" t="inlineStr"/>
    </row>
    <row r="300" ht="15" customHeight="1">
      <c r="A300" t="inlineStr">
        <is>
          <t>A 69490-2021</t>
        </is>
      </c>
      <c r="B300" s="1" t="n">
        <v>44531</v>
      </c>
      <c r="C300" s="1" t="n">
        <v>46046</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69501-2021</t>
        </is>
      </c>
      <c r="B301" s="1" t="n">
        <v>44531</v>
      </c>
      <c r="C301" s="1" t="n">
        <v>46046</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39321-2021</t>
        </is>
      </c>
      <c r="B302" s="1" t="n">
        <v>44413</v>
      </c>
      <c r="C302" s="1" t="n">
        <v>46046</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21843-2021</t>
        </is>
      </c>
      <c r="B303" s="1" t="n">
        <v>44316</v>
      </c>
      <c r="C303" s="1" t="n">
        <v>46046</v>
      </c>
      <c r="D303" t="inlineStr">
        <is>
          <t>JÄMTLANDS LÄN</t>
        </is>
      </c>
      <c r="E303" t="inlineStr">
        <is>
          <t>HÄRJEDALEN</t>
        </is>
      </c>
      <c r="G303" t="n">
        <v>15.1</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46046</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46046</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5519-2021</t>
        </is>
      </c>
      <c r="B306" s="1" t="n">
        <v>44230</v>
      </c>
      <c r="C306" s="1" t="n">
        <v>46046</v>
      </c>
      <c r="D306" t="inlineStr">
        <is>
          <t>JÄMTLANDS LÄN</t>
        </is>
      </c>
      <c r="E306" t="inlineStr">
        <is>
          <t>HÄRJEDALEN</t>
        </is>
      </c>
      <c r="G306" t="n">
        <v>10.8</v>
      </c>
      <c r="H306" t="n">
        <v>0</v>
      </c>
      <c r="I306" t="n">
        <v>0</v>
      </c>
      <c r="J306" t="n">
        <v>0</v>
      </c>
      <c r="K306" t="n">
        <v>0</v>
      </c>
      <c r="L306" t="n">
        <v>0</v>
      </c>
      <c r="M306" t="n">
        <v>0</v>
      </c>
      <c r="N306" t="n">
        <v>0</v>
      </c>
      <c r="O306" t="n">
        <v>0</v>
      </c>
      <c r="P306" t="n">
        <v>0</v>
      </c>
      <c r="Q306" t="n">
        <v>0</v>
      </c>
      <c r="R306" s="2" t="inlineStr"/>
    </row>
    <row r="307" ht="15" customHeight="1">
      <c r="A307" t="inlineStr">
        <is>
          <t>A 71649-2021</t>
        </is>
      </c>
      <c r="B307" s="1" t="n">
        <v>44538</v>
      </c>
      <c r="C307" s="1" t="n">
        <v>46046</v>
      </c>
      <c r="D307" t="inlineStr">
        <is>
          <t>JÄMTLANDS LÄN</t>
        </is>
      </c>
      <c r="E307" t="inlineStr">
        <is>
          <t>HÄRJEDALEN</t>
        </is>
      </c>
      <c r="F307" t="inlineStr">
        <is>
          <t>Övriga statliga verk och myndigheter</t>
        </is>
      </c>
      <c r="G307" t="n">
        <v>3.7</v>
      </c>
      <c r="H307" t="n">
        <v>0</v>
      </c>
      <c r="I307" t="n">
        <v>0</v>
      </c>
      <c r="J307" t="n">
        <v>0</v>
      </c>
      <c r="K307" t="n">
        <v>0</v>
      </c>
      <c r="L307" t="n">
        <v>0</v>
      </c>
      <c r="M307" t="n">
        <v>0</v>
      </c>
      <c r="N307" t="n">
        <v>0</v>
      </c>
      <c r="O307" t="n">
        <v>0</v>
      </c>
      <c r="P307" t="n">
        <v>0</v>
      </c>
      <c r="Q307" t="n">
        <v>0</v>
      </c>
      <c r="R307" s="2" t="inlineStr"/>
    </row>
    <row r="308" ht="15" customHeight="1">
      <c r="A308" t="inlineStr">
        <is>
          <t>A 55238-2021</t>
        </is>
      </c>
      <c r="B308" s="1" t="n">
        <v>44475</v>
      </c>
      <c r="C308" s="1" t="n">
        <v>46046</v>
      </c>
      <c r="D308" t="inlineStr">
        <is>
          <t>JÄMTLANDS LÄN</t>
        </is>
      </c>
      <c r="E308" t="inlineStr">
        <is>
          <t>HÄRJEDALEN</t>
        </is>
      </c>
      <c r="G308" t="n">
        <v>2.2</v>
      </c>
      <c r="H308" t="n">
        <v>0</v>
      </c>
      <c r="I308" t="n">
        <v>0</v>
      </c>
      <c r="J308" t="n">
        <v>0</v>
      </c>
      <c r="K308" t="n">
        <v>0</v>
      </c>
      <c r="L308" t="n">
        <v>0</v>
      </c>
      <c r="M308" t="n">
        <v>0</v>
      </c>
      <c r="N308" t="n">
        <v>0</v>
      </c>
      <c r="O308" t="n">
        <v>0</v>
      </c>
      <c r="P308" t="n">
        <v>0</v>
      </c>
      <c r="Q308" t="n">
        <v>0</v>
      </c>
      <c r="R308" s="2" t="inlineStr"/>
    </row>
    <row r="309" ht="15" customHeight="1">
      <c r="A309" t="inlineStr">
        <is>
          <t>A 55246-2021</t>
        </is>
      </c>
      <c r="B309" s="1" t="n">
        <v>44475</v>
      </c>
      <c r="C309" s="1" t="n">
        <v>46046</v>
      </c>
      <c r="D309" t="inlineStr">
        <is>
          <t>JÄMTLANDS LÄN</t>
        </is>
      </c>
      <c r="E309" t="inlineStr">
        <is>
          <t>HÄRJEDALEN</t>
        </is>
      </c>
      <c r="G309" t="n">
        <v>3.8</v>
      </c>
      <c r="H309" t="n">
        <v>0</v>
      </c>
      <c r="I309" t="n">
        <v>0</v>
      </c>
      <c r="J309" t="n">
        <v>0</v>
      </c>
      <c r="K309" t="n">
        <v>0</v>
      </c>
      <c r="L309" t="n">
        <v>0</v>
      </c>
      <c r="M309" t="n">
        <v>0</v>
      </c>
      <c r="N309" t="n">
        <v>0</v>
      </c>
      <c r="O309" t="n">
        <v>0</v>
      </c>
      <c r="P309" t="n">
        <v>0</v>
      </c>
      <c r="Q309" t="n">
        <v>0</v>
      </c>
      <c r="R309" s="2" t="inlineStr"/>
    </row>
    <row r="310" ht="15" customHeight="1">
      <c r="A310" t="inlineStr">
        <is>
          <t>A 55252-2021</t>
        </is>
      </c>
      <c r="B310" s="1" t="n">
        <v>44475</v>
      </c>
      <c r="C310" s="1" t="n">
        <v>46046</v>
      </c>
      <c r="D310" t="inlineStr">
        <is>
          <t>JÄMTLANDS LÄN</t>
        </is>
      </c>
      <c r="E310" t="inlineStr">
        <is>
          <t>HÄRJEDALEN</t>
        </is>
      </c>
      <c r="G310" t="n">
        <v>0.2</v>
      </c>
      <c r="H310" t="n">
        <v>0</v>
      </c>
      <c r="I310" t="n">
        <v>0</v>
      </c>
      <c r="J310" t="n">
        <v>0</v>
      </c>
      <c r="K310" t="n">
        <v>0</v>
      </c>
      <c r="L310" t="n">
        <v>0</v>
      </c>
      <c r="M310" t="n">
        <v>0</v>
      </c>
      <c r="N310" t="n">
        <v>0</v>
      </c>
      <c r="O310" t="n">
        <v>0</v>
      </c>
      <c r="P310" t="n">
        <v>0</v>
      </c>
      <c r="Q310" t="n">
        <v>0</v>
      </c>
      <c r="R310" s="2" t="inlineStr"/>
    </row>
    <row r="311" ht="15" customHeight="1">
      <c r="A311" t="inlineStr">
        <is>
          <t>A 55257-2021</t>
        </is>
      </c>
      <c r="B311" s="1" t="n">
        <v>44475</v>
      </c>
      <c r="C311" s="1" t="n">
        <v>46046</v>
      </c>
      <c r="D311" t="inlineStr">
        <is>
          <t>JÄMTLANDS LÄN</t>
        </is>
      </c>
      <c r="E311" t="inlineStr">
        <is>
          <t>HÄRJEDALEN</t>
        </is>
      </c>
      <c r="G311" t="n">
        <v>0</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46046</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58930-2023</t>
        </is>
      </c>
      <c r="B313" s="1" t="n">
        <v>45252</v>
      </c>
      <c r="C313" s="1" t="n">
        <v>46046</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46046</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21770-2022</t>
        </is>
      </c>
      <c r="B315" s="1" t="n">
        <v>44708.46081018518</v>
      </c>
      <c r="C315" s="1" t="n">
        <v>46046</v>
      </c>
      <c r="D315" t="inlineStr">
        <is>
          <t>JÄMTLANDS LÄN</t>
        </is>
      </c>
      <c r="E315" t="inlineStr">
        <is>
          <t>HÄRJEDALEN</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18169-2022</t>
        </is>
      </c>
      <c r="B316" s="1" t="n">
        <v>44684</v>
      </c>
      <c r="C316" s="1" t="n">
        <v>46046</v>
      </c>
      <c r="D316" t="inlineStr">
        <is>
          <t>JÄMTLANDS LÄN</t>
        </is>
      </c>
      <c r="E316" t="inlineStr">
        <is>
          <t>HÄRJEDALEN</t>
        </is>
      </c>
      <c r="F316" t="inlineStr">
        <is>
          <t>Kyrkan</t>
        </is>
      </c>
      <c r="G316" t="n">
        <v>2.4</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46046</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46046</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9784-2024</t>
        </is>
      </c>
      <c r="B319" s="1" t="n">
        <v>45362.67293981482</v>
      </c>
      <c r="C319" s="1" t="n">
        <v>46046</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56852-2021</t>
        </is>
      </c>
      <c r="B320" s="1" t="n">
        <v>44481.67951388889</v>
      </c>
      <c r="C320" s="1" t="n">
        <v>46046</v>
      </c>
      <c r="D320" t="inlineStr">
        <is>
          <t>JÄMTLANDS LÄN</t>
        </is>
      </c>
      <c r="E320" t="inlineStr">
        <is>
          <t>HÄRJEDALEN</t>
        </is>
      </c>
      <c r="G320" t="n">
        <v>2.8</v>
      </c>
      <c r="H320" t="n">
        <v>0</v>
      </c>
      <c r="I320" t="n">
        <v>0</v>
      </c>
      <c r="J320" t="n">
        <v>0</v>
      </c>
      <c r="K320" t="n">
        <v>0</v>
      </c>
      <c r="L320" t="n">
        <v>0</v>
      </c>
      <c r="M320" t="n">
        <v>0</v>
      </c>
      <c r="N320" t="n">
        <v>0</v>
      </c>
      <c r="O320" t="n">
        <v>0</v>
      </c>
      <c r="P320" t="n">
        <v>0</v>
      </c>
      <c r="Q320" t="n">
        <v>0</v>
      </c>
      <c r="R320" s="2" t="inlineStr"/>
    </row>
    <row r="321" ht="15" customHeight="1">
      <c r="A321" t="inlineStr">
        <is>
          <t>A 45705-2024</t>
        </is>
      </c>
      <c r="B321" s="1" t="n">
        <v>45579.57390046296</v>
      </c>
      <c r="C321" s="1" t="n">
        <v>46046</v>
      </c>
      <c r="D321" t="inlineStr">
        <is>
          <t>JÄMTLANDS LÄN</t>
        </is>
      </c>
      <c r="E321" t="inlineStr">
        <is>
          <t>HÄRJEDALEN</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11527-2022</t>
        </is>
      </c>
      <c r="B322" s="1" t="n">
        <v>44631.37421296296</v>
      </c>
      <c r="C322" s="1" t="n">
        <v>46046</v>
      </c>
      <c r="D322" t="inlineStr">
        <is>
          <t>JÄMTLANDS LÄN</t>
        </is>
      </c>
      <c r="E322" t="inlineStr">
        <is>
          <t>HÄRJEDALEN</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29602-2024</t>
        </is>
      </c>
      <c r="B323" s="1" t="n">
        <v>45484</v>
      </c>
      <c r="C323" s="1" t="n">
        <v>46046</v>
      </c>
      <c r="D323" t="inlineStr">
        <is>
          <t>JÄMTLANDS LÄN</t>
        </is>
      </c>
      <c r="E323" t="inlineStr">
        <is>
          <t>HÄRJEDALEN</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21702-2021</t>
        </is>
      </c>
      <c r="B324" s="1" t="n">
        <v>44316</v>
      </c>
      <c r="C324" s="1" t="n">
        <v>46046</v>
      </c>
      <c r="D324" t="inlineStr">
        <is>
          <t>JÄMTLANDS LÄN</t>
        </is>
      </c>
      <c r="E324" t="inlineStr">
        <is>
          <t>HÄRJEDALEN</t>
        </is>
      </c>
      <c r="G324" t="n">
        <v>2.9</v>
      </c>
      <c r="H324" t="n">
        <v>0</v>
      </c>
      <c r="I324" t="n">
        <v>0</v>
      </c>
      <c r="J324" t="n">
        <v>0</v>
      </c>
      <c r="K324" t="n">
        <v>0</v>
      </c>
      <c r="L324" t="n">
        <v>0</v>
      </c>
      <c r="M324" t="n">
        <v>0</v>
      </c>
      <c r="N324" t="n">
        <v>0</v>
      </c>
      <c r="O324" t="n">
        <v>0</v>
      </c>
      <c r="P324" t="n">
        <v>0</v>
      </c>
      <c r="Q324" t="n">
        <v>0</v>
      </c>
      <c r="R324" s="2" t="inlineStr"/>
    </row>
    <row r="325" ht="15" customHeight="1">
      <c r="A325" t="inlineStr">
        <is>
          <t>A 10024-2025</t>
        </is>
      </c>
      <c r="B325" s="1" t="n">
        <v>45719.48778935185</v>
      </c>
      <c r="C325" s="1" t="n">
        <v>46046</v>
      </c>
      <c r="D325" t="inlineStr">
        <is>
          <t>JÄMTLANDS LÄN</t>
        </is>
      </c>
      <c r="E325" t="inlineStr">
        <is>
          <t>HÄRJEDALEN</t>
        </is>
      </c>
      <c r="G325" t="n">
        <v>2.4</v>
      </c>
      <c r="H325" t="n">
        <v>0</v>
      </c>
      <c r="I325" t="n">
        <v>0</v>
      </c>
      <c r="J325" t="n">
        <v>0</v>
      </c>
      <c r="K325" t="n">
        <v>0</v>
      </c>
      <c r="L325" t="n">
        <v>0</v>
      </c>
      <c r="M325" t="n">
        <v>0</v>
      </c>
      <c r="N325" t="n">
        <v>0</v>
      </c>
      <c r="O325" t="n">
        <v>0</v>
      </c>
      <c r="P325" t="n">
        <v>0</v>
      </c>
      <c r="Q325" t="n">
        <v>0</v>
      </c>
      <c r="R325" s="2" t="inlineStr"/>
    </row>
    <row r="326" ht="15" customHeight="1">
      <c r="A326" t="inlineStr">
        <is>
          <t>A 47244-2023</t>
        </is>
      </c>
      <c r="B326" s="1" t="n">
        <v>45202</v>
      </c>
      <c r="C326" s="1" t="n">
        <v>46046</v>
      </c>
      <c r="D326" t="inlineStr">
        <is>
          <t>JÄMTLANDS LÄN</t>
        </is>
      </c>
      <c r="E326" t="inlineStr">
        <is>
          <t>HÄRJEDALEN</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46046</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61140-2024</t>
        </is>
      </c>
      <c r="B328" s="1" t="n">
        <v>45644</v>
      </c>
      <c r="C328" s="1" t="n">
        <v>46046</v>
      </c>
      <c r="D328" t="inlineStr">
        <is>
          <t>JÄMTLANDS LÄN</t>
        </is>
      </c>
      <c r="E328" t="inlineStr">
        <is>
          <t>HÄRJEDALEN</t>
        </is>
      </c>
      <c r="G328" t="n">
        <v>29.7</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46046</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41209-2022</t>
        </is>
      </c>
      <c r="B330" s="1" t="n">
        <v>44825</v>
      </c>
      <c r="C330" s="1" t="n">
        <v>46046</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53010-2024</t>
        </is>
      </c>
      <c r="B331" s="1" t="n">
        <v>45611.4021875</v>
      </c>
      <c r="C331" s="1" t="n">
        <v>46046</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46046</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46046</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46046</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14039-2025</t>
        </is>
      </c>
      <c r="B335" s="1" t="n">
        <v>45740.36546296296</v>
      </c>
      <c r="C335" s="1" t="n">
        <v>46046</v>
      </c>
      <c r="D335" t="inlineStr">
        <is>
          <t>JÄMTLANDS LÄN</t>
        </is>
      </c>
      <c r="E335" t="inlineStr">
        <is>
          <t>HÄRJEDALEN</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31778-2023</t>
        </is>
      </c>
      <c r="B336" s="1" t="n">
        <v>45118.3959375</v>
      </c>
      <c r="C336" s="1" t="n">
        <v>46046</v>
      </c>
      <c r="D336" t="inlineStr">
        <is>
          <t>JÄMTLANDS LÄN</t>
        </is>
      </c>
      <c r="E336" t="inlineStr">
        <is>
          <t>HÄRJEDALEN</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58404-2024</t>
        </is>
      </c>
      <c r="B337" s="1" t="n">
        <v>45634.65831018519</v>
      </c>
      <c r="C337" s="1" t="n">
        <v>46046</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46046</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46046</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9780-2024</t>
        </is>
      </c>
      <c r="B340" s="1" t="n">
        <v>45362.65903935185</v>
      </c>
      <c r="C340" s="1" t="n">
        <v>46046</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7744-2025</t>
        </is>
      </c>
      <c r="B341" s="1" t="n">
        <v>45706</v>
      </c>
      <c r="C341" s="1" t="n">
        <v>46046</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859-2022</t>
        </is>
      </c>
      <c r="B342" s="1" t="n">
        <v>44571</v>
      </c>
      <c r="C342" s="1" t="n">
        <v>46046</v>
      </c>
      <c r="D342" t="inlineStr">
        <is>
          <t>JÄMTLANDS LÄN</t>
        </is>
      </c>
      <c r="E342" t="inlineStr">
        <is>
          <t>HÄRJEDALEN</t>
        </is>
      </c>
      <c r="G342" t="n">
        <v>16.9</v>
      </c>
      <c r="H342" t="n">
        <v>0</v>
      </c>
      <c r="I342" t="n">
        <v>0</v>
      </c>
      <c r="J342" t="n">
        <v>0</v>
      </c>
      <c r="K342" t="n">
        <v>0</v>
      </c>
      <c r="L342" t="n">
        <v>0</v>
      </c>
      <c r="M342" t="n">
        <v>0</v>
      </c>
      <c r="N342" t="n">
        <v>0</v>
      </c>
      <c r="O342" t="n">
        <v>0</v>
      </c>
      <c r="P342" t="n">
        <v>0</v>
      </c>
      <c r="Q342" t="n">
        <v>0</v>
      </c>
      <c r="R342" s="2" t="inlineStr"/>
    </row>
    <row r="343" ht="15" customHeight="1">
      <c r="A343" t="inlineStr">
        <is>
          <t>A 14204-2025</t>
        </is>
      </c>
      <c r="B343" s="1" t="n">
        <v>45740.57487268518</v>
      </c>
      <c r="C343" s="1" t="n">
        <v>46046</v>
      </c>
      <c r="D343" t="inlineStr">
        <is>
          <t>JÄMTLANDS LÄN</t>
        </is>
      </c>
      <c r="E343" t="inlineStr">
        <is>
          <t>HÄRJEDALEN</t>
        </is>
      </c>
      <c r="F343" t="inlineStr">
        <is>
          <t>Övriga Aktiebolag</t>
        </is>
      </c>
      <c r="G343" t="n">
        <v>10.2</v>
      </c>
      <c r="H343" t="n">
        <v>0</v>
      </c>
      <c r="I343" t="n">
        <v>0</v>
      </c>
      <c r="J343" t="n">
        <v>0</v>
      </c>
      <c r="K343" t="n">
        <v>0</v>
      </c>
      <c r="L343" t="n">
        <v>0</v>
      </c>
      <c r="M343" t="n">
        <v>0</v>
      </c>
      <c r="N343" t="n">
        <v>0</v>
      </c>
      <c r="O343" t="n">
        <v>0</v>
      </c>
      <c r="P343" t="n">
        <v>0</v>
      </c>
      <c r="Q343" t="n">
        <v>0</v>
      </c>
      <c r="R343" s="2" t="inlineStr"/>
    </row>
    <row r="344" ht="15" customHeight="1">
      <c r="A344" t="inlineStr">
        <is>
          <t>A 47975-2022</t>
        </is>
      </c>
      <c r="B344" s="1" t="n">
        <v>44855.60383101852</v>
      </c>
      <c r="C344" s="1" t="n">
        <v>46046</v>
      </c>
      <c r="D344" t="inlineStr">
        <is>
          <t>JÄMTLANDS LÄN</t>
        </is>
      </c>
      <c r="E344" t="inlineStr">
        <is>
          <t>HÄRJEDALEN</t>
        </is>
      </c>
      <c r="G344" t="n">
        <v>3</v>
      </c>
      <c r="H344" t="n">
        <v>0</v>
      </c>
      <c r="I344" t="n">
        <v>0</v>
      </c>
      <c r="J344" t="n">
        <v>0</v>
      </c>
      <c r="K344" t="n">
        <v>0</v>
      </c>
      <c r="L344" t="n">
        <v>0</v>
      </c>
      <c r="M344" t="n">
        <v>0</v>
      </c>
      <c r="N344" t="n">
        <v>0</v>
      </c>
      <c r="O344" t="n">
        <v>0</v>
      </c>
      <c r="P344" t="n">
        <v>0</v>
      </c>
      <c r="Q344" t="n">
        <v>0</v>
      </c>
      <c r="R344" s="2" t="inlineStr"/>
    </row>
    <row r="345" ht="15" customHeight="1">
      <c r="A345" t="inlineStr">
        <is>
          <t>A 7731-2021</t>
        </is>
      </c>
      <c r="B345" s="1" t="n">
        <v>44242</v>
      </c>
      <c r="C345" s="1" t="n">
        <v>46046</v>
      </c>
      <c r="D345" t="inlineStr">
        <is>
          <t>JÄMTLANDS LÄN</t>
        </is>
      </c>
      <c r="E345" t="inlineStr">
        <is>
          <t>HÄRJEDALEN</t>
        </is>
      </c>
      <c r="G345" t="n">
        <v>13.6</v>
      </c>
      <c r="H345" t="n">
        <v>0</v>
      </c>
      <c r="I345" t="n">
        <v>0</v>
      </c>
      <c r="J345" t="n">
        <v>0</v>
      </c>
      <c r="K345" t="n">
        <v>0</v>
      </c>
      <c r="L345" t="n">
        <v>0</v>
      </c>
      <c r="M345" t="n">
        <v>0</v>
      </c>
      <c r="N345" t="n">
        <v>0</v>
      </c>
      <c r="O345" t="n">
        <v>0</v>
      </c>
      <c r="P345" t="n">
        <v>0</v>
      </c>
      <c r="Q345" t="n">
        <v>0</v>
      </c>
      <c r="R345" s="2" t="inlineStr"/>
    </row>
    <row r="346" ht="15" customHeight="1">
      <c r="A346" t="inlineStr">
        <is>
          <t>A 17705-2021</t>
        </is>
      </c>
      <c r="B346" s="1" t="n">
        <v>44300</v>
      </c>
      <c r="C346" s="1" t="n">
        <v>46046</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46046</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41604-2024</t>
        </is>
      </c>
      <c r="B348" s="1" t="n">
        <v>45560</v>
      </c>
      <c r="C348" s="1" t="n">
        <v>46046</v>
      </c>
      <c r="D348" t="inlineStr">
        <is>
          <t>JÄMTLANDS LÄN</t>
        </is>
      </c>
      <c r="E348" t="inlineStr">
        <is>
          <t>HÄRJEDALEN</t>
        </is>
      </c>
      <c r="G348" t="n">
        <v>6.3</v>
      </c>
      <c r="H348" t="n">
        <v>0</v>
      </c>
      <c r="I348" t="n">
        <v>0</v>
      </c>
      <c r="J348" t="n">
        <v>0</v>
      </c>
      <c r="K348" t="n">
        <v>0</v>
      </c>
      <c r="L348" t="n">
        <v>0</v>
      </c>
      <c r="M348" t="n">
        <v>0</v>
      </c>
      <c r="N348" t="n">
        <v>0</v>
      </c>
      <c r="O348" t="n">
        <v>0</v>
      </c>
      <c r="P348" t="n">
        <v>0</v>
      </c>
      <c r="Q348" t="n">
        <v>0</v>
      </c>
      <c r="R348" s="2" t="inlineStr"/>
    </row>
    <row r="349" ht="15" customHeight="1">
      <c r="A349" t="inlineStr">
        <is>
          <t>A 16552-2025</t>
        </is>
      </c>
      <c r="B349" s="1" t="n">
        <v>45751.69827546296</v>
      </c>
      <c r="C349" s="1" t="n">
        <v>46046</v>
      </c>
      <c r="D349" t="inlineStr">
        <is>
          <t>JÄMTLANDS LÄN</t>
        </is>
      </c>
      <c r="E349" t="inlineStr">
        <is>
          <t>HÄRJEDALEN</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46046</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46447-2024</t>
        </is>
      </c>
      <c r="B351" s="1" t="n">
        <v>45582.49792824074</v>
      </c>
      <c r="C351" s="1" t="n">
        <v>46046</v>
      </c>
      <c r="D351" t="inlineStr">
        <is>
          <t>JÄMTLANDS LÄN</t>
        </is>
      </c>
      <c r="E351" t="inlineStr">
        <is>
          <t>HÄRJEDALEN</t>
        </is>
      </c>
      <c r="F351" t="inlineStr">
        <is>
          <t>Bergvik skog väst AB</t>
        </is>
      </c>
      <c r="G351" t="n">
        <v>19.2</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46046</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46046</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10014-2023</t>
        </is>
      </c>
      <c r="B354" s="1" t="n">
        <v>44985.61403935185</v>
      </c>
      <c r="C354" s="1" t="n">
        <v>46046</v>
      </c>
      <c r="D354" t="inlineStr">
        <is>
          <t>JÄMTLANDS LÄN</t>
        </is>
      </c>
      <c r="E354" t="inlineStr">
        <is>
          <t>HÄRJEDALEN</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59293-2024</t>
        </is>
      </c>
      <c r="B355" s="1" t="n">
        <v>45637</v>
      </c>
      <c r="C355" s="1" t="n">
        <v>46046</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10483-2025</t>
        </is>
      </c>
      <c r="B356" s="1" t="n">
        <v>45721.33868055556</v>
      </c>
      <c r="C356" s="1" t="n">
        <v>46046</v>
      </c>
      <c r="D356" t="inlineStr">
        <is>
          <t>JÄMTLANDS LÄN</t>
        </is>
      </c>
      <c r="E356" t="inlineStr">
        <is>
          <t>HÄRJEDALEN</t>
        </is>
      </c>
      <c r="G356" t="n">
        <v>5.2</v>
      </c>
      <c r="H356" t="n">
        <v>0</v>
      </c>
      <c r="I356" t="n">
        <v>0</v>
      </c>
      <c r="J356" t="n">
        <v>0</v>
      </c>
      <c r="K356" t="n">
        <v>0</v>
      </c>
      <c r="L356" t="n">
        <v>0</v>
      </c>
      <c r="M356" t="n">
        <v>0</v>
      </c>
      <c r="N356" t="n">
        <v>0</v>
      </c>
      <c r="O356" t="n">
        <v>0</v>
      </c>
      <c r="P356" t="n">
        <v>0</v>
      </c>
      <c r="Q356" t="n">
        <v>0</v>
      </c>
      <c r="R356" s="2" t="inlineStr"/>
    </row>
    <row r="357" ht="15" customHeight="1">
      <c r="A357" t="inlineStr">
        <is>
          <t>A 4898-2025</t>
        </is>
      </c>
      <c r="B357" s="1" t="n">
        <v>45688.67932870371</v>
      </c>
      <c r="C357" s="1" t="n">
        <v>46046</v>
      </c>
      <c r="D357" t="inlineStr">
        <is>
          <t>JÄMTLANDS LÄN</t>
        </is>
      </c>
      <c r="E357" t="inlineStr">
        <is>
          <t>HÄRJEDALEN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21596-2021</t>
        </is>
      </c>
      <c r="B358" s="1" t="n">
        <v>44314</v>
      </c>
      <c r="C358" s="1" t="n">
        <v>46046</v>
      </c>
      <c r="D358" t="inlineStr">
        <is>
          <t>JÄMTLANDS LÄN</t>
        </is>
      </c>
      <c r="E358" t="inlineStr">
        <is>
          <t>HÄRJEDALEN</t>
        </is>
      </c>
      <c r="G358" t="n">
        <v>18.2</v>
      </c>
      <c r="H358" t="n">
        <v>0</v>
      </c>
      <c r="I358" t="n">
        <v>0</v>
      </c>
      <c r="J358" t="n">
        <v>0</v>
      </c>
      <c r="K358" t="n">
        <v>0</v>
      </c>
      <c r="L358" t="n">
        <v>0</v>
      </c>
      <c r="M358" t="n">
        <v>0</v>
      </c>
      <c r="N358" t="n">
        <v>0</v>
      </c>
      <c r="O358" t="n">
        <v>0</v>
      </c>
      <c r="P358" t="n">
        <v>0</v>
      </c>
      <c r="Q358" t="n">
        <v>0</v>
      </c>
      <c r="R358" s="2" t="inlineStr"/>
    </row>
    <row r="359" ht="15" customHeight="1">
      <c r="A359" t="inlineStr">
        <is>
          <t>A 51769-2024</t>
        </is>
      </c>
      <c r="B359" s="1" t="n">
        <v>45607.44832175926</v>
      </c>
      <c r="C359" s="1" t="n">
        <v>46046</v>
      </c>
      <c r="D359" t="inlineStr">
        <is>
          <t>JÄMTLANDS LÄN</t>
        </is>
      </c>
      <c r="E359" t="inlineStr">
        <is>
          <t>HÄRJEDALEN</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46058-2024</t>
        </is>
      </c>
      <c r="B360" s="1" t="n">
        <v>45580.92037037037</v>
      </c>
      <c r="C360" s="1" t="n">
        <v>46046</v>
      </c>
      <c r="D360" t="inlineStr">
        <is>
          <t>JÄMTLANDS LÄN</t>
        </is>
      </c>
      <c r="E360" t="inlineStr">
        <is>
          <t>HÄRJEDALEN</t>
        </is>
      </c>
      <c r="G360" t="n">
        <v>7.5</v>
      </c>
      <c r="H360" t="n">
        <v>0</v>
      </c>
      <c r="I360" t="n">
        <v>0</v>
      </c>
      <c r="J360" t="n">
        <v>0</v>
      </c>
      <c r="K360" t="n">
        <v>0</v>
      </c>
      <c r="L360" t="n">
        <v>0</v>
      </c>
      <c r="M360" t="n">
        <v>0</v>
      </c>
      <c r="N360" t="n">
        <v>0</v>
      </c>
      <c r="O360" t="n">
        <v>0</v>
      </c>
      <c r="P360" t="n">
        <v>0</v>
      </c>
      <c r="Q360" t="n">
        <v>0</v>
      </c>
      <c r="R360" s="2" t="inlineStr"/>
    </row>
    <row r="361" ht="15" customHeight="1">
      <c r="A361" t="inlineStr">
        <is>
          <t>A 19105-2025</t>
        </is>
      </c>
      <c r="B361" s="1" t="n">
        <v>45768.30814814815</v>
      </c>
      <c r="C361" s="1" t="n">
        <v>46046</v>
      </c>
      <c r="D361" t="inlineStr">
        <is>
          <t>JÄMTLANDS LÄN</t>
        </is>
      </c>
      <c r="E361" t="inlineStr">
        <is>
          <t>HÄRJEDALEN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58507-2024</t>
        </is>
      </c>
      <c r="B362" s="1" t="n">
        <v>45635.42027777778</v>
      </c>
      <c r="C362" s="1" t="n">
        <v>46046</v>
      </c>
      <c r="D362" t="inlineStr">
        <is>
          <t>JÄMTLANDS LÄN</t>
        </is>
      </c>
      <c r="E362" t="inlineStr">
        <is>
          <t>HÄRJEDALEN</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8178-2024</t>
        </is>
      </c>
      <c r="B363" s="1" t="n">
        <v>45350</v>
      </c>
      <c r="C363" s="1" t="n">
        <v>46046</v>
      </c>
      <c r="D363" t="inlineStr">
        <is>
          <t>JÄMTLANDS LÄN</t>
        </is>
      </c>
      <c r="E363" t="inlineStr">
        <is>
          <t>HÄRJEDALEN</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8215-2024</t>
        </is>
      </c>
      <c r="B364" s="1" t="n">
        <v>45351</v>
      </c>
      <c r="C364" s="1" t="n">
        <v>46046</v>
      </c>
      <c r="D364" t="inlineStr">
        <is>
          <t>JÄMTLANDS LÄN</t>
        </is>
      </c>
      <c r="E364" t="inlineStr">
        <is>
          <t>HÄRJEDALEN</t>
        </is>
      </c>
      <c r="G364" t="n">
        <v>49.2</v>
      </c>
      <c r="H364" t="n">
        <v>0</v>
      </c>
      <c r="I364" t="n">
        <v>0</v>
      </c>
      <c r="J364" t="n">
        <v>0</v>
      </c>
      <c r="K364" t="n">
        <v>0</v>
      </c>
      <c r="L364" t="n">
        <v>0</v>
      </c>
      <c r="M364" t="n">
        <v>0</v>
      </c>
      <c r="N364" t="n">
        <v>0</v>
      </c>
      <c r="O364" t="n">
        <v>0</v>
      </c>
      <c r="P364" t="n">
        <v>0</v>
      </c>
      <c r="Q364" t="n">
        <v>0</v>
      </c>
      <c r="R364" s="2" t="inlineStr"/>
    </row>
    <row r="365" ht="15" customHeight="1">
      <c r="A365" t="inlineStr">
        <is>
          <t>A 20672-2025</t>
        </is>
      </c>
      <c r="B365" s="1" t="n">
        <v>45776.43898148148</v>
      </c>
      <c r="C365" s="1" t="n">
        <v>46046</v>
      </c>
      <c r="D365" t="inlineStr">
        <is>
          <t>JÄMTLANDS LÄN</t>
        </is>
      </c>
      <c r="E365" t="inlineStr">
        <is>
          <t>HÄRJEDALEN</t>
        </is>
      </c>
      <c r="G365" t="n">
        <v>6.4</v>
      </c>
      <c r="H365" t="n">
        <v>0</v>
      </c>
      <c r="I365" t="n">
        <v>0</v>
      </c>
      <c r="J365" t="n">
        <v>0</v>
      </c>
      <c r="K365" t="n">
        <v>0</v>
      </c>
      <c r="L365" t="n">
        <v>0</v>
      </c>
      <c r="M365" t="n">
        <v>0</v>
      </c>
      <c r="N365" t="n">
        <v>0</v>
      </c>
      <c r="O365" t="n">
        <v>0</v>
      </c>
      <c r="P365" t="n">
        <v>0</v>
      </c>
      <c r="Q365" t="n">
        <v>0</v>
      </c>
      <c r="R365" s="2" t="inlineStr"/>
    </row>
    <row r="366" ht="15" customHeight="1">
      <c r="A366" t="inlineStr">
        <is>
          <t>A 12279-2025</t>
        </is>
      </c>
      <c r="B366" s="1" t="n">
        <v>45729.65261574074</v>
      </c>
      <c r="C366" s="1" t="n">
        <v>46046</v>
      </c>
      <c r="D366" t="inlineStr">
        <is>
          <t>JÄMTLANDS LÄN</t>
        </is>
      </c>
      <c r="E366" t="inlineStr">
        <is>
          <t>HÄRJEDALEN</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3965-2025</t>
        </is>
      </c>
      <c r="B367" s="1" t="n">
        <v>45684.51006944444</v>
      </c>
      <c r="C367" s="1" t="n">
        <v>46046</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43623-2024</t>
        </is>
      </c>
      <c r="B368" s="1" t="n">
        <v>45569.48626157407</v>
      </c>
      <c r="C368" s="1" t="n">
        <v>46046</v>
      </c>
      <c r="D368" t="inlineStr">
        <is>
          <t>JÄMTLANDS LÄN</t>
        </is>
      </c>
      <c r="E368" t="inlineStr">
        <is>
          <t>HÄRJEDALEN</t>
        </is>
      </c>
      <c r="G368" t="n">
        <v>3.4</v>
      </c>
      <c r="H368" t="n">
        <v>0</v>
      </c>
      <c r="I368" t="n">
        <v>0</v>
      </c>
      <c r="J368" t="n">
        <v>0</v>
      </c>
      <c r="K368" t="n">
        <v>0</v>
      </c>
      <c r="L368" t="n">
        <v>0</v>
      </c>
      <c r="M368" t="n">
        <v>0</v>
      </c>
      <c r="N368" t="n">
        <v>0</v>
      </c>
      <c r="O368" t="n">
        <v>0</v>
      </c>
      <c r="P368" t="n">
        <v>0</v>
      </c>
      <c r="Q368" t="n">
        <v>0</v>
      </c>
      <c r="R368" s="2" t="inlineStr"/>
    </row>
    <row r="369" ht="15" customHeight="1">
      <c r="A369" t="inlineStr">
        <is>
          <t>A 60887-2022</t>
        </is>
      </c>
      <c r="B369" s="1" t="n">
        <v>44914</v>
      </c>
      <c r="C369" s="1" t="n">
        <v>46046</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8420-2023</t>
        </is>
      </c>
      <c r="B370" s="1" t="n">
        <v>44977.44643518519</v>
      </c>
      <c r="C370" s="1" t="n">
        <v>46046</v>
      </c>
      <c r="D370" t="inlineStr">
        <is>
          <t>JÄMTLANDS LÄN</t>
        </is>
      </c>
      <c r="E370" t="inlineStr">
        <is>
          <t>HÄRJEDALEN</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46046</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21169-2025</t>
        </is>
      </c>
      <c r="B372" s="1" t="n">
        <v>45779.41844907407</v>
      </c>
      <c r="C372" s="1" t="n">
        <v>46046</v>
      </c>
      <c r="D372" t="inlineStr">
        <is>
          <t>JÄMTLANDS LÄN</t>
        </is>
      </c>
      <c r="E372" t="inlineStr">
        <is>
          <t>HÄRJEDALEN</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21161-2025</t>
        </is>
      </c>
      <c r="B373" s="1" t="n">
        <v>45779.38211805555</v>
      </c>
      <c r="C373" s="1" t="n">
        <v>46046</v>
      </c>
      <c r="D373" t="inlineStr">
        <is>
          <t>JÄMTLANDS LÄN</t>
        </is>
      </c>
      <c r="E373" t="inlineStr">
        <is>
          <t>HÄRJEDALEN</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21223-2025</t>
        </is>
      </c>
      <c r="B374" s="1" t="n">
        <v>45779.50886574074</v>
      </c>
      <c r="C374" s="1" t="n">
        <v>46046</v>
      </c>
      <c r="D374" t="inlineStr">
        <is>
          <t>JÄMTLANDS LÄN</t>
        </is>
      </c>
      <c r="E374" t="inlineStr">
        <is>
          <t>HÄRJEDALEN</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21226-2025</t>
        </is>
      </c>
      <c r="B375" s="1" t="n">
        <v>45779.51943287037</v>
      </c>
      <c r="C375" s="1" t="n">
        <v>46046</v>
      </c>
      <c r="D375" t="inlineStr">
        <is>
          <t>JÄMTLANDS LÄN</t>
        </is>
      </c>
      <c r="E375" t="inlineStr">
        <is>
          <t>HÄRJEDALEN</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21227-2025</t>
        </is>
      </c>
      <c r="B376" s="1" t="n">
        <v>45779.52488425926</v>
      </c>
      <c r="C376" s="1" t="n">
        <v>46046</v>
      </c>
      <c r="D376" t="inlineStr">
        <is>
          <t>JÄMTLANDS LÄN</t>
        </is>
      </c>
      <c r="E376" t="inlineStr">
        <is>
          <t>HÄRJEDALEN</t>
        </is>
      </c>
      <c r="F376" t="inlineStr">
        <is>
          <t>Holmen skog AB</t>
        </is>
      </c>
      <c r="G376" t="n">
        <v>4.9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46046</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13783-2025</t>
        </is>
      </c>
      <c r="B378" s="1" t="n">
        <v>45737</v>
      </c>
      <c r="C378" s="1" t="n">
        <v>46046</v>
      </c>
      <c r="D378" t="inlineStr">
        <is>
          <t>JÄMTLANDS LÄN</t>
        </is>
      </c>
      <c r="E378" t="inlineStr">
        <is>
          <t>HÄRJEDALEN</t>
        </is>
      </c>
      <c r="G378" t="n">
        <v>1</v>
      </c>
      <c r="H378" t="n">
        <v>0</v>
      </c>
      <c r="I378" t="n">
        <v>0</v>
      </c>
      <c r="J378" t="n">
        <v>0</v>
      </c>
      <c r="K378" t="n">
        <v>0</v>
      </c>
      <c r="L378" t="n">
        <v>0</v>
      </c>
      <c r="M378" t="n">
        <v>0</v>
      </c>
      <c r="N378" t="n">
        <v>0</v>
      </c>
      <c r="O378" t="n">
        <v>0</v>
      </c>
      <c r="P378" t="n">
        <v>0</v>
      </c>
      <c r="Q378" t="n">
        <v>0</v>
      </c>
      <c r="R378" s="2" t="inlineStr"/>
    </row>
    <row r="379" ht="15" customHeight="1">
      <c r="A379" t="inlineStr">
        <is>
          <t>A 19863-2024</t>
        </is>
      </c>
      <c r="B379" s="1" t="n">
        <v>45433</v>
      </c>
      <c r="C379" s="1" t="n">
        <v>46046</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21225-2025</t>
        </is>
      </c>
      <c r="B380" s="1" t="n">
        <v>45779.51357638889</v>
      </c>
      <c r="C380" s="1" t="n">
        <v>46046</v>
      </c>
      <c r="D380" t="inlineStr">
        <is>
          <t>JÄMTLANDS LÄN</t>
        </is>
      </c>
      <c r="E380" t="inlineStr">
        <is>
          <t>HÄRJEDALEN</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48822-2024</t>
        </is>
      </c>
      <c r="B381" s="1" t="n">
        <v>45593.6821412037</v>
      </c>
      <c r="C381" s="1" t="n">
        <v>46046</v>
      </c>
      <c r="D381" t="inlineStr">
        <is>
          <t>JÄMTLANDS LÄN</t>
        </is>
      </c>
      <c r="E381" t="inlineStr">
        <is>
          <t>HÄRJEDALEN</t>
        </is>
      </c>
      <c r="G381" t="n">
        <v>0.4</v>
      </c>
      <c r="H381" t="n">
        <v>0</v>
      </c>
      <c r="I381" t="n">
        <v>0</v>
      </c>
      <c r="J381" t="n">
        <v>0</v>
      </c>
      <c r="K381" t="n">
        <v>0</v>
      </c>
      <c r="L381" t="n">
        <v>0</v>
      </c>
      <c r="M381" t="n">
        <v>0</v>
      </c>
      <c r="N381" t="n">
        <v>0</v>
      </c>
      <c r="O381" t="n">
        <v>0</v>
      </c>
      <c r="P381" t="n">
        <v>0</v>
      </c>
      <c r="Q381" t="n">
        <v>0</v>
      </c>
      <c r="R381" s="2" t="inlineStr"/>
    </row>
    <row r="382" ht="15" customHeight="1">
      <c r="A382" t="inlineStr">
        <is>
          <t>A 48823-2024</t>
        </is>
      </c>
      <c r="B382" s="1" t="n">
        <v>45593.68434027778</v>
      </c>
      <c r="C382" s="1" t="n">
        <v>46046</v>
      </c>
      <c r="D382" t="inlineStr">
        <is>
          <t>JÄMTLANDS LÄN</t>
        </is>
      </c>
      <c r="E382" t="inlineStr">
        <is>
          <t>HÄRJEDALEN</t>
        </is>
      </c>
      <c r="G382" t="n">
        <v>0.2</v>
      </c>
      <c r="H382" t="n">
        <v>0</v>
      </c>
      <c r="I382" t="n">
        <v>0</v>
      </c>
      <c r="J382" t="n">
        <v>0</v>
      </c>
      <c r="K382" t="n">
        <v>0</v>
      </c>
      <c r="L382" t="n">
        <v>0</v>
      </c>
      <c r="M382" t="n">
        <v>0</v>
      </c>
      <c r="N382" t="n">
        <v>0</v>
      </c>
      <c r="O382" t="n">
        <v>0</v>
      </c>
      <c r="P382" t="n">
        <v>0</v>
      </c>
      <c r="Q382" t="n">
        <v>0</v>
      </c>
      <c r="R382" s="2" t="inlineStr"/>
    </row>
    <row r="383" ht="15" customHeight="1">
      <c r="A383" t="inlineStr">
        <is>
          <t>A 29347-2024</t>
        </is>
      </c>
      <c r="B383" s="1" t="n">
        <v>45483.47572916667</v>
      </c>
      <c r="C383" s="1" t="n">
        <v>46046</v>
      </c>
      <c r="D383" t="inlineStr">
        <is>
          <t>JÄMTLANDS LÄN</t>
        </is>
      </c>
      <c r="E383" t="inlineStr">
        <is>
          <t>HÄRJEDALEN</t>
        </is>
      </c>
      <c r="G383" t="n">
        <v>35.8</v>
      </c>
      <c r="H383" t="n">
        <v>0</v>
      </c>
      <c r="I383" t="n">
        <v>0</v>
      </c>
      <c r="J383" t="n">
        <v>0</v>
      </c>
      <c r="K383" t="n">
        <v>0</v>
      </c>
      <c r="L383" t="n">
        <v>0</v>
      </c>
      <c r="M383" t="n">
        <v>0</v>
      </c>
      <c r="N383" t="n">
        <v>0</v>
      </c>
      <c r="O383" t="n">
        <v>0</v>
      </c>
      <c r="P383" t="n">
        <v>0</v>
      </c>
      <c r="Q383" t="n">
        <v>0</v>
      </c>
      <c r="R383" s="2" t="inlineStr"/>
    </row>
    <row r="384" ht="15" customHeight="1">
      <c r="A384" t="inlineStr">
        <is>
          <t>A 11555-2025</t>
        </is>
      </c>
      <c r="B384" s="1" t="n">
        <v>45727.35621527778</v>
      </c>
      <c r="C384" s="1" t="n">
        <v>46046</v>
      </c>
      <c r="D384" t="inlineStr">
        <is>
          <t>JÄMTLANDS LÄN</t>
        </is>
      </c>
      <c r="E384" t="inlineStr">
        <is>
          <t>HÄRJEDALEN</t>
        </is>
      </c>
      <c r="F384" t="inlineStr">
        <is>
          <t>Bergvik skog väst AB</t>
        </is>
      </c>
      <c r="G384" t="n">
        <v>14.2</v>
      </c>
      <c r="H384" t="n">
        <v>0</v>
      </c>
      <c r="I384" t="n">
        <v>0</v>
      </c>
      <c r="J384" t="n">
        <v>0</v>
      </c>
      <c r="K384" t="n">
        <v>0</v>
      </c>
      <c r="L384" t="n">
        <v>0</v>
      </c>
      <c r="M384" t="n">
        <v>0</v>
      </c>
      <c r="N384" t="n">
        <v>0</v>
      </c>
      <c r="O384" t="n">
        <v>0</v>
      </c>
      <c r="P384" t="n">
        <v>0</v>
      </c>
      <c r="Q384" t="n">
        <v>0</v>
      </c>
      <c r="R384" s="2" t="inlineStr"/>
    </row>
    <row r="385" ht="15" customHeight="1">
      <c r="A385" t="inlineStr">
        <is>
          <t>A 14631-2023</t>
        </is>
      </c>
      <c r="B385" s="1" t="n">
        <v>45012</v>
      </c>
      <c r="C385" s="1" t="n">
        <v>46046</v>
      </c>
      <c r="D385" t="inlineStr">
        <is>
          <t>JÄMTLANDS LÄN</t>
        </is>
      </c>
      <c r="E385" t="inlineStr">
        <is>
          <t>HÄRJEDALEN</t>
        </is>
      </c>
      <c r="F385" t="inlineStr">
        <is>
          <t>Bergvik skog väst AB</t>
        </is>
      </c>
      <c r="G385" t="n">
        <v>14.2</v>
      </c>
      <c r="H385" t="n">
        <v>0</v>
      </c>
      <c r="I385" t="n">
        <v>0</v>
      </c>
      <c r="J385" t="n">
        <v>0</v>
      </c>
      <c r="K385" t="n">
        <v>0</v>
      </c>
      <c r="L385" t="n">
        <v>0</v>
      </c>
      <c r="M385" t="n">
        <v>0</v>
      </c>
      <c r="N385" t="n">
        <v>0</v>
      </c>
      <c r="O385" t="n">
        <v>0</v>
      </c>
      <c r="P385" t="n">
        <v>0</v>
      </c>
      <c r="Q385" t="n">
        <v>0</v>
      </c>
      <c r="R385" s="2" t="inlineStr"/>
    </row>
    <row r="386" ht="15" customHeight="1">
      <c r="A386" t="inlineStr">
        <is>
          <t>A 64484-2023</t>
        </is>
      </c>
      <c r="B386" s="1" t="n">
        <v>45280</v>
      </c>
      <c r="C386" s="1" t="n">
        <v>46046</v>
      </c>
      <c r="D386" t="inlineStr">
        <is>
          <t>JÄMTLANDS LÄN</t>
        </is>
      </c>
      <c r="E386" t="inlineStr">
        <is>
          <t>HÄRJEDALEN</t>
        </is>
      </c>
      <c r="G386" t="n">
        <v>7.1</v>
      </c>
      <c r="H386" t="n">
        <v>0</v>
      </c>
      <c r="I386" t="n">
        <v>0</v>
      </c>
      <c r="J386" t="n">
        <v>0</v>
      </c>
      <c r="K386" t="n">
        <v>0</v>
      </c>
      <c r="L386" t="n">
        <v>0</v>
      </c>
      <c r="M386" t="n">
        <v>0</v>
      </c>
      <c r="N386" t="n">
        <v>0</v>
      </c>
      <c r="O386" t="n">
        <v>0</v>
      </c>
      <c r="P386" t="n">
        <v>0</v>
      </c>
      <c r="Q386" t="n">
        <v>0</v>
      </c>
      <c r="R386" s="2" t="inlineStr"/>
    </row>
    <row r="387" ht="15" customHeight="1">
      <c r="A387" t="inlineStr">
        <is>
          <t>A 25500-2022</t>
        </is>
      </c>
      <c r="B387" s="1" t="n">
        <v>44732</v>
      </c>
      <c r="C387" s="1" t="n">
        <v>46046</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59424-2023</t>
        </is>
      </c>
      <c r="B388" s="1" t="n">
        <v>45254</v>
      </c>
      <c r="C388" s="1" t="n">
        <v>46046</v>
      </c>
      <c r="D388" t="inlineStr">
        <is>
          <t>JÄMTLANDS LÄN</t>
        </is>
      </c>
      <c r="E388" t="inlineStr">
        <is>
          <t>HÄRJEDALEN</t>
        </is>
      </c>
      <c r="G388" t="n">
        <v>3.3</v>
      </c>
      <c r="H388" t="n">
        <v>0</v>
      </c>
      <c r="I388" t="n">
        <v>0</v>
      </c>
      <c r="J388" t="n">
        <v>0</v>
      </c>
      <c r="K388" t="n">
        <v>0</v>
      </c>
      <c r="L388" t="n">
        <v>0</v>
      </c>
      <c r="M388" t="n">
        <v>0</v>
      </c>
      <c r="N388" t="n">
        <v>0</v>
      </c>
      <c r="O388" t="n">
        <v>0</v>
      </c>
      <c r="P388" t="n">
        <v>0</v>
      </c>
      <c r="Q388" t="n">
        <v>0</v>
      </c>
      <c r="R388" s="2" t="inlineStr"/>
    </row>
    <row r="389" ht="15" customHeight="1">
      <c r="A389" t="inlineStr">
        <is>
          <t>A 21797-2025</t>
        </is>
      </c>
      <c r="B389" s="1" t="n">
        <v>45783.68547453704</v>
      </c>
      <c r="C389" s="1" t="n">
        <v>46046</v>
      </c>
      <c r="D389" t="inlineStr">
        <is>
          <t>JÄMTLANDS LÄN</t>
        </is>
      </c>
      <c r="E389" t="inlineStr">
        <is>
          <t>HÄRJEDALEN</t>
        </is>
      </c>
      <c r="F389" t="inlineStr">
        <is>
          <t>Sveaskog</t>
        </is>
      </c>
      <c r="G389" t="n">
        <v>15.1</v>
      </c>
      <c r="H389" t="n">
        <v>0</v>
      </c>
      <c r="I389" t="n">
        <v>0</v>
      </c>
      <c r="J389" t="n">
        <v>0</v>
      </c>
      <c r="K389" t="n">
        <v>0</v>
      </c>
      <c r="L389" t="n">
        <v>0</v>
      </c>
      <c r="M389" t="n">
        <v>0</v>
      </c>
      <c r="N389" t="n">
        <v>0</v>
      </c>
      <c r="O389" t="n">
        <v>0</v>
      </c>
      <c r="P389" t="n">
        <v>0</v>
      </c>
      <c r="Q389" t="n">
        <v>0</v>
      </c>
      <c r="R389" s="2" t="inlineStr"/>
    </row>
    <row r="390" ht="15" customHeight="1">
      <c r="A390" t="inlineStr">
        <is>
          <t>A 54364-2024</t>
        </is>
      </c>
      <c r="B390" s="1" t="n">
        <v>45617</v>
      </c>
      <c r="C390" s="1" t="n">
        <v>46046</v>
      </c>
      <c r="D390" t="inlineStr">
        <is>
          <t>JÄMTLANDS LÄN</t>
        </is>
      </c>
      <c r="E390" t="inlineStr">
        <is>
          <t>HÄRJEDALEN</t>
        </is>
      </c>
      <c r="F390" t="inlineStr">
        <is>
          <t>Holmen skog AB</t>
        </is>
      </c>
      <c r="G390" t="n">
        <v>41.1</v>
      </c>
      <c r="H390" t="n">
        <v>0</v>
      </c>
      <c r="I390" t="n">
        <v>0</v>
      </c>
      <c r="J390" t="n">
        <v>0</v>
      </c>
      <c r="K390" t="n">
        <v>0</v>
      </c>
      <c r="L390" t="n">
        <v>0</v>
      </c>
      <c r="M390" t="n">
        <v>0</v>
      </c>
      <c r="N390" t="n">
        <v>0</v>
      </c>
      <c r="O390" t="n">
        <v>0</v>
      </c>
      <c r="P390" t="n">
        <v>0</v>
      </c>
      <c r="Q390" t="n">
        <v>0</v>
      </c>
      <c r="R390" s="2" t="inlineStr"/>
    </row>
    <row r="391" ht="15" customHeight="1">
      <c r="A391" t="inlineStr">
        <is>
          <t>A 239-2022</t>
        </is>
      </c>
      <c r="B391" s="1" t="n">
        <v>44565.31975694445</v>
      </c>
      <c r="C391" s="1" t="n">
        <v>46046</v>
      </c>
      <c r="D391" t="inlineStr">
        <is>
          <t>JÄMTLANDS LÄN</t>
        </is>
      </c>
      <c r="E391" t="inlineStr">
        <is>
          <t>HÄRJEDALEN</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241-2022</t>
        </is>
      </c>
      <c r="B392" s="1" t="n">
        <v>44565</v>
      </c>
      <c r="C392" s="1" t="n">
        <v>46046</v>
      </c>
      <c r="D392" t="inlineStr">
        <is>
          <t>JÄMTLANDS LÄN</t>
        </is>
      </c>
      <c r="E392" t="inlineStr">
        <is>
          <t>HÄRJEDALEN</t>
        </is>
      </c>
      <c r="F392" t="inlineStr">
        <is>
          <t>Övriga Aktiebolag</t>
        </is>
      </c>
      <c r="G392" t="n">
        <v>16.5</v>
      </c>
      <c r="H392" t="n">
        <v>0</v>
      </c>
      <c r="I392" t="n">
        <v>0</v>
      </c>
      <c r="J392" t="n">
        <v>0</v>
      </c>
      <c r="K392" t="n">
        <v>0</v>
      </c>
      <c r="L392" t="n">
        <v>0</v>
      </c>
      <c r="M392" t="n">
        <v>0</v>
      </c>
      <c r="N392" t="n">
        <v>0</v>
      </c>
      <c r="O392" t="n">
        <v>0</v>
      </c>
      <c r="P392" t="n">
        <v>0</v>
      </c>
      <c r="Q392" t="n">
        <v>0</v>
      </c>
      <c r="R392" s="2" t="inlineStr"/>
    </row>
    <row r="393" ht="15" customHeight="1">
      <c r="A393" t="inlineStr">
        <is>
          <t>A 54684-2024</t>
        </is>
      </c>
      <c r="B393" s="1" t="n">
        <v>45618.35961805555</v>
      </c>
      <c r="C393" s="1" t="n">
        <v>46046</v>
      </c>
      <c r="D393" t="inlineStr">
        <is>
          <t>JÄMTLANDS LÄN</t>
        </is>
      </c>
      <c r="E393" t="inlineStr">
        <is>
          <t>HÄRJEDALEN</t>
        </is>
      </c>
      <c r="G393" t="n">
        <v>18.1</v>
      </c>
      <c r="H393" t="n">
        <v>0</v>
      </c>
      <c r="I393" t="n">
        <v>0</v>
      </c>
      <c r="J393" t="n">
        <v>0</v>
      </c>
      <c r="K393" t="n">
        <v>0</v>
      </c>
      <c r="L393" t="n">
        <v>0</v>
      </c>
      <c r="M393" t="n">
        <v>0</v>
      </c>
      <c r="N393" t="n">
        <v>0</v>
      </c>
      <c r="O393" t="n">
        <v>0</v>
      </c>
      <c r="P393" t="n">
        <v>0</v>
      </c>
      <c r="Q393" t="n">
        <v>0</v>
      </c>
      <c r="R393" s="2" t="inlineStr"/>
    </row>
    <row r="394" ht="15" customHeight="1">
      <c r="A394" t="inlineStr">
        <is>
          <t>A 21355-2025</t>
        </is>
      </c>
      <c r="B394" s="1" t="n">
        <v>45782.41581018519</v>
      </c>
      <c r="C394" s="1" t="n">
        <v>46046</v>
      </c>
      <c r="D394" t="inlineStr">
        <is>
          <t>JÄMTLANDS LÄN</t>
        </is>
      </c>
      <c r="E394" t="inlineStr">
        <is>
          <t>HÄRJEDALEN</t>
        </is>
      </c>
      <c r="G394" t="n">
        <v>1.2</v>
      </c>
      <c r="H394" t="n">
        <v>0</v>
      </c>
      <c r="I394" t="n">
        <v>0</v>
      </c>
      <c r="J394" t="n">
        <v>0</v>
      </c>
      <c r="K394" t="n">
        <v>0</v>
      </c>
      <c r="L394" t="n">
        <v>0</v>
      </c>
      <c r="M394" t="n">
        <v>0</v>
      </c>
      <c r="N394" t="n">
        <v>0</v>
      </c>
      <c r="O394" t="n">
        <v>0</v>
      </c>
      <c r="P394" t="n">
        <v>0</v>
      </c>
      <c r="Q394" t="n">
        <v>0</v>
      </c>
      <c r="R394" s="2" t="inlineStr"/>
    </row>
    <row r="395" ht="15" customHeight="1">
      <c r="A395" t="inlineStr">
        <is>
          <t>A 21358-2025</t>
        </is>
      </c>
      <c r="B395" s="1" t="n">
        <v>45782.42744212963</v>
      </c>
      <c r="C395" s="1" t="n">
        <v>46046</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9788-2024</t>
        </is>
      </c>
      <c r="B396" s="1" t="n">
        <v>45362.67789351852</v>
      </c>
      <c r="C396" s="1" t="n">
        <v>46046</v>
      </c>
      <c r="D396" t="inlineStr">
        <is>
          <t>JÄMTLANDS LÄN</t>
        </is>
      </c>
      <c r="E396" t="inlineStr">
        <is>
          <t>HÄRJEDALEN</t>
        </is>
      </c>
      <c r="G396" t="n">
        <v>0.2</v>
      </c>
      <c r="H396" t="n">
        <v>0</v>
      </c>
      <c r="I396" t="n">
        <v>0</v>
      </c>
      <c r="J396" t="n">
        <v>0</v>
      </c>
      <c r="K396" t="n">
        <v>0</v>
      </c>
      <c r="L396" t="n">
        <v>0</v>
      </c>
      <c r="M396" t="n">
        <v>0</v>
      </c>
      <c r="N396" t="n">
        <v>0</v>
      </c>
      <c r="O396" t="n">
        <v>0</v>
      </c>
      <c r="P396" t="n">
        <v>0</v>
      </c>
      <c r="Q396" t="n">
        <v>0</v>
      </c>
      <c r="R396" s="2" t="inlineStr"/>
    </row>
    <row r="397" ht="15" customHeight="1">
      <c r="A397" t="inlineStr">
        <is>
          <t>A 7636-2023</t>
        </is>
      </c>
      <c r="B397" s="1" t="n">
        <v>44972.57449074074</v>
      </c>
      <c r="C397" s="1" t="n">
        <v>46046</v>
      </c>
      <c r="D397" t="inlineStr">
        <is>
          <t>JÄMTLANDS LÄN</t>
        </is>
      </c>
      <c r="E397" t="inlineStr">
        <is>
          <t>HÄRJEDALEN</t>
        </is>
      </c>
      <c r="G397" t="n">
        <v>1.5</v>
      </c>
      <c r="H397" t="n">
        <v>0</v>
      </c>
      <c r="I397" t="n">
        <v>0</v>
      </c>
      <c r="J397" t="n">
        <v>0</v>
      </c>
      <c r="K397" t="n">
        <v>0</v>
      </c>
      <c r="L397" t="n">
        <v>0</v>
      </c>
      <c r="M397" t="n">
        <v>0</v>
      </c>
      <c r="N397" t="n">
        <v>0</v>
      </c>
      <c r="O397" t="n">
        <v>0</v>
      </c>
      <c r="P397" t="n">
        <v>0</v>
      </c>
      <c r="Q397" t="n">
        <v>0</v>
      </c>
      <c r="R397" s="2" t="inlineStr"/>
    </row>
    <row r="398" ht="15" customHeight="1">
      <c r="A398" t="inlineStr">
        <is>
          <t>A 55228-2024</t>
        </is>
      </c>
      <c r="B398" s="1" t="n">
        <v>45621</v>
      </c>
      <c r="C398" s="1" t="n">
        <v>46046</v>
      </c>
      <c r="D398" t="inlineStr">
        <is>
          <t>JÄMTLANDS LÄN</t>
        </is>
      </c>
      <c r="E398" t="inlineStr">
        <is>
          <t>HÄRJEDALEN</t>
        </is>
      </c>
      <c r="G398" t="n">
        <v>4.8</v>
      </c>
      <c r="H398" t="n">
        <v>0</v>
      </c>
      <c r="I398" t="n">
        <v>0</v>
      </c>
      <c r="J398" t="n">
        <v>0</v>
      </c>
      <c r="K398" t="n">
        <v>0</v>
      </c>
      <c r="L398" t="n">
        <v>0</v>
      </c>
      <c r="M398" t="n">
        <v>0</v>
      </c>
      <c r="N398" t="n">
        <v>0</v>
      </c>
      <c r="O398" t="n">
        <v>0</v>
      </c>
      <c r="P398" t="n">
        <v>0</v>
      </c>
      <c r="Q398" t="n">
        <v>0</v>
      </c>
      <c r="R398" s="2" t="inlineStr"/>
    </row>
    <row r="399" ht="15" customHeight="1">
      <c r="A399" t="inlineStr">
        <is>
          <t>A 55246-2024</t>
        </is>
      </c>
      <c r="B399" s="1" t="n">
        <v>45621</v>
      </c>
      <c r="C399" s="1" t="n">
        <v>46046</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4196-2023</t>
        </is>
      </c>
      <c r="B400" s="1" t="n">
        <v>44953</v>
      </c>
      <c r="C400" s="1" t="n">
        <v>46046</v>
      </c>
      <c r="D400" t="inlineStr">
        <is>
          <t>JÄMTLANDS LÄN</t>
        </is>
      </c>
      <c r="E400" t="inlineStr">
        <is>
          <t>HÄRJEDALEN</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24425-2024</t>
        </is>
      </c>
      <c r="B401" s="1" t="n">
        <v>45457.92854166667</v>
      </c>
      <c r="C401" s="1" t="n">
        <v>46046</v>
      </c>
      <c r="D401" t="inlineStr">
        <is>
          <t>JÄMTLANDS LÄN</t>
        </is>
      </c>
      <c r="E401" t="inlineStr">
        <is>
          <t>HÄRJEDALEN</t>
        </is>
      </c>
      <c r="G401" t="n">
        <v>15.8</v>
      </c>
      <c r="H401" t="n">
        <v>0</v>
      </c>
      <c r="I401" t="n">
        <v>0</v>
      </c>
      <c r="J401" t="n">
        <v>0</v>
      </c>
      <c r="K401" t="n">
        <v>0</v>
      </c>
      <c r="L401" t="n">
        <v>0</v>
      </c>
      <c r="M401" t="n">
        <v>0</v>
      </c>
      <c r="N401" t="n">
        <v>0</v>
      </c>
      <c r="O401" t="n">
        <v>0</v>
      </c>
      <c r="P401" t="n">
        <v>0</v>
      </c>
      <c r="Q401" t="n">
        <v>0</v>
      </c>
      <c r="R401" s="2" t="inlineStr"/>
    </row>
    <row r="402" ht="15" customHeight="1">
      <c r="A402" t="inlineStr">
        <is>
          <t>A 30435-2023</t>
        </is>
      </c>
      <c r="B402" s="1" t="n">
        <v>45111</v>
      </c>
      <c r="C402" s="1" t="n">
        <v>46046</v>
      </c>
      <c r="D402" t="inlineStr">
        <is>
          <t>JÄMTLANDS LÄN</t>
        </is>
      </c>
      <c r="E402" t="inlineStr">
        <is>
          <t>HÄRJEDALEN</t>
        </is>
      </c>
      <c r="G402" t="n">
        <v>20</v>
      </c>
      <c r="H402" t="n">
        <v>0</v>
      </c>
      <c r="I402" t="n">
        <v>0</v>
      </c>
      <c r="J402" t="n">
        <v>0</v>
      </c>
      <c r="K402" t="n">
        <v>0</v>
      </c>
      <c r="L402" t="n">
        <v>0</v>
      </c>
      <c r="M402" t="n">
        <v>0</v>
      </c>
      <c r="N402" t="n">
        <v>0</v>
      </c>
      <c r="O402" t="n">
        <v>0</v>
      </c>
      <c r="P402" t="n">
        <v>0</v>
      </c>
      <c r="Q402" t="n">
        <v>0</v>
      </c>
      <c r="R402" s="2" t="inlineStr"/>
    </row>
    <row r="403" ht="15" customHeight="1">
      <c r="A403" t="inlineStr">
        <is>
          <t>A 13543-2024</t>
        </is>
      </c>
      <c r="B403" s="1" t="n">
        <v>45387</v>
      </c>
      <c r="C403" s="1" t="n">
        <v>46046</v>
      </c>
      <c r="D403" t="inlineStr">
        <is>
          <t>JÄMTLANDS LÄN</t>
        </is>
      </c>
      <c r="E403" t="inlineStr">
        <is>
          <t>HÄRJEDALEN</t>
        </is>
      </c>
      <c r="G403" t="n">
        <v>1.3</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46046</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22040-2025</t>
        </is>
      </c>
      <c r="B405" s="1" t="n">
        <v>45785.33164351852</v>
      </c>
      <c r="C405" s="1" t="n">
        <v>46046</v>
      </c>
      <c r="D405" t="inlineStr">
        <is>
          <t>JÄMTLANDS LÄN</t>
        </is>
      </c>
      <c r="E405" t="inlineStr">
        <is>
          <t>HÄRJEDALEN</t>
        </is>
      </c>
      <c r="G405" t="n">
        <v>6</v>
      </c>
      <c r="H405" t="n">
        <v>0</v>
      </c>
      <c r="I405" t="n">
        <v>0</v>
      </c>
      <c r="J405" t="n">
        <v>0</v>
      </c>
      <c r="K405" t="n">
        <v>0</v>
      </c>
      <c r="L405" t="n">
        <v>0</v>
      </c>
      <c r="M405" t="n">
        <v>0</v>
      </c>
      <c r="N405" t="n">
        <v>0</v>
      </c>
      <c r="O405" t="n">
        <v>0</v>
      </c>
      <c r="P405" t="n">
        <v>0</v>
      </c>
      <c r="Q405" t="n">
        <v>0</v>
      </c>
      <c r="R405" s="2" t="inlineStr"/>
    </row>
    <row r="406" ht="15" customHeight="1">
      <c r="A406" t="inlineStr">
        <is>
          <t>A 22045-2025</t>
        </is>
      </c>
      <c r="B406" s="1" t="n">
        <v>45785.34165509259</v>
      </c>
      <c r="C406" s="1" t="n">
        <v>46046</v>
      </c>
      <c r="D406" t="inlineStr">
        <is>
          <t>JÄMTLANDS LÄN</t>
        </is>
      </c>
      <c r="E406" t="inlineStr">
        <is>
          <t>HÄRJEDALEN</t>
        </is>
      </c>
      <c r="G406" t="n">
        <v>4.8</v>
      </c>
      <c r="H406" t="n">
        <v>0</v>
      </c>
      <c r="I406" t="n">
        <v>0</v>
      </c>
      <c r="J406" t="n">
        <v>0</v>
      </c>
      <c r="K406" t="n">
        <v>0</v>
      </c>
      <c r="L406" t="n">
        <v>0</v>
      </c>
      <c r="M406" t="n">
        <v>0</v>
      </c>
      <c r="N406" t="n">
        <v>0</v>
      </c>
      <c r="O406" t="n">
        <v>0</v>
      </c>
      <c r="P406" t="n">
        <v>0</v>
      </c>
      <c r="Q406" t="n">
        <v>0</v>
      </c>
      <c r="R406" s="2" t="inlineStr"/>
    </row>
    <row r="407" ht="15" customHeight="1">
      <c r="A407" t="inlineStr">
        <is>
          <t>A 1515-2025</t>
        </is>
      </c>
      <c r="B407" s="1" t="n">
        <v>45670.4570949074</v>
      </c>
      <c r="C407" s="1" t="n">
        <v>46046</v>
      </c>
      <c r="D407" t="inlineStr">
        <is>
          <t>JÄMTLANDS LÄN</t>
        </is>
      </c>
      <c r="E407" t="inlineStr">
        <is>
          <t>HÄRJEDALEN</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64909-2023</t>
        </is>
      </c>
      <c r="B408" s="1" t="n">
        <v>45282.64012731481</v>
      </c>
      <c r="C408" s="1" t="n">
        <v>46046</v>
      </c>
      <c r="D408" t="inlineStr">
        <is>
          <t>JÄMTLANDS LÄN</t>
        </is>
      </c>
      <c r="E408" t="inlineStr">
        <is>
          <t>HÄRJEDALEN</t>
        </is>
      </c>
      <c r="F408" t="inlineStr">
        <is>
          <t>Holmen skog AB</t>
        </is>
      </c>
      <c r="G408" t="n">
        <v>6.8</v>
      </c>
      <c r="H408" t="n">
        <v>0</v>
      </c>
      <c r="I408" t="n">
        <v>0</v>
      </c>
      <c r="J408" t="n">
        <v>0</v>
      </c>
      <c r="K408" t="n">
        <v>0</v>
      </c>
      <c r="L408" t="n">
        <v>0</v>
      </c>
      <c r="M408" t="n">
        <v>0</v>
      </c>
      <c r="N408" t="n">
        <v>0</v>
      </c>
      <c r="O408" t="n">
        <v>0</v>
      </c>
      <c r="P408" t="n">
        <v>0</v>
      </c>
      <c r="Q408" t="n">
        <v>0</v>
      </c>
      <c r="R408" s="2" t="inlineStr"/>
    </row>
    <row r="409" ht="15" customHeight="1">
      <c r="A409" t="inlineStr">
        <is>
          <t>A 1459-2025</t>
        </is>
      </c>
      <c r="B409" s="1" t="n">
        <v>45670.34313657408</v>
      </c>
      <c r="C409" s="1" t="n">
        <v>46046</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58341-2024</t>
        </is>
      </c>
      <c r="B410" s="1" t="n">
        <v>45632.64078703704</v>
      </c>
      <c r="C410" s="1" t="n">
        <v>46046</v>
      </c>
      <c r="D410" t="inlineStr">
        <is>
          <t>JÄMTLANDS LÄN</t>
        </is>
      </c>
      <c r="E410" t="inlineStr">
        <is>
          <t>HÄRJEDALEN</t>
        </is>
      </c>
      <c r="G410" t="n">
        <v>7.9</v>
      </c>
      <c r="H410" t="n">
        <v>0</v>
      </c>
      <c r="I410" t="n">
        <v>0</v>
      </c>
      <c r="J410" t="n">
        <v>0</v>
      </c>
      <c r="K410" t="n">
        <v>0</v>
      </c>
      <c r="L410" t="n">
        <v>0</v>
      </c>
      <c r="M410" t="n">
        <v>0</v>
      </c>
      <c r="N410" t="n">
        <v>0</v>
      </c>
      <c r="O410" t="n">
        <v>0</v>
      </c>
      <c r="P410" t="n">
        <v>0</v>
      </c>
      <c r="Q410" t="n">
        <v>0</v>
      </c>
      <c r="R410" s="2" t="inlineStr"/>
    </row>
    <row r="411" ht="15" customHeight="1">
      <c r="A411" t="inlineStr">
        <is>
          <t>A 60054-2024</t>
        </is>
      </c>
      <c r="B411" s="1" t="n">
        <v>45642</v>
      </c>
      <c r="C411" s="1" t="n">
        <v>46046</v>
      </c>
      <c r="D411" t="inlineStr">
        <is>
          <t>JÄMTLANDS LÄN</t>
        </is>
      </c>
      <c r="E411" t="inlineStr">
        <is>
          <t>HÄRJEDALEN</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23467-2024</t>
        </is>
      </c>
      <c r="B412" s="1" t="n">
        <v>45453.6619212963</v>
      </c>
      <c r="C412" s="1" t="n">
        <v>46046</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42333-2024</t>
        </is>
      </c>
      <c r="B413" s="1" t="n">
        <v>45562.65759259259</v>
      </c>
      <c r="C413" s="1" t="n">
        <v>46046</v>
      </c>
      <c r="D413" t="inlineStr">
        <is>
          <t>JÄMTLANDS LÄN</t>
        </is>
      </c>
      <c r="E413" t="inlineStr">
        <is>
          <t>HÄRJEDALEN</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43760-2024</t>
        </is>
      </c>
      <c r="B414" s="1" t="n">
        <v>45569.6909837963</v>
      </c>
      <c r="C414" s="1" t="n">
        <v>46046</v>
      </c>
      <c r="D414" t="inlineStr">
        <is>
          <t>JÄMTLANDS LÄN</t>
        </is>
      </c>
      <c r="E414" t="inlineStr">
        <is>
          <t>HÄRJEDALEN</t>
        </is>
      </c>
      <c r="G414" t="n">
        <v>0.7</v>
      </c>
      <c r="H414" t="n">
        <v>0</v>
      </c>
      <c r="I414" t="n">
        <v>0</v>
      </c>
      <c r="J414" t="n">
        <v>0</v>
      </c>
      <c r="K414" t="n">
        <v>0</v>
      </c>
      <c r="L414" t="n">
        <v>0</v>
      </c>
      <c r="M414" t="n">
        <v>0</v>
      </c>
      <c r="N414" t="n">
        <v>0</v>
      </c>
      <c r="O414" t="n">
        <v>0</v>
      </c>
      <c r="P414" t="n">
        <v>0</v>
      </c>
      <c r="Q414" t="n">
        <v>0</v>
      </c>
      <c r="R414" s="2" t="inlineStr"/>
    </row>
    <row r="415" ht="15" customHeight="1">
      <c r="A415" t="inlineStr">
        <is>
          <t>A 45409-2021</t>
        </is>
      </c>
      <c r="B415" s="1" t="n">
        <v>44440</v>
      </c>
      <c r="C415" s="1" t="n">
        <v>46046</v>
      </c>
      <c r="D415" t="inlineStr">
        <is>
          <t>JÄMTLANDS LÄN</t>
        </is>
      </c>
      <c r="E415" t="inlineStr">
        <is>
          <t>HÄRJEDALEN</t>
        </is>
      </c>
      <c r="G415" t="n">
        <v>18.9</v>
      </c>
      <c r="H415" t="n">
        <v>0</v>
      </c>
      <c r="I415" t="n">
        <v>0</v>
      </c>
      <c r="J415" t="n">
        <v>0</v>
      </c>
      <c r="K415" t="n">
        <v>0</v>
      </c>
      <c r="L415" t="n">
        <v>0</v>
      </c>
      <c r="M415" t="n">
        <v>0</v>
      </c>
      <c r="N415" t="n">
        <v>0</v>
      </c>
      <c r="O415" t="n">
        <v>0</v>
      </c>
      <c r="P415" t="n">
        <v>0</v>
      </c>
      <c r="Q415" t="n">
        <v>0</v>
      </c>
      <c r="R415" s="2" t="inlineStr"/>
    </row>
    <row r="416" ht="15" customHeight="1">
      <c r="A416" t="inlineStr">
        <is>
          <t>A 7328-2024</t>
        </is>
      </c>
      <c r="B416" s="1" t="n">
        <v>45345</v>
      </c>
      <c r="C416" s="1" t="n">
        <v>46046</v>
      </c>
      <c r="D416" t="inlineStr">
        <is>
          <t>JÄMTLANDS LÄN</t>
        </is>
      </c>
      <c r="E416" t="inlineStr">
        <is>
          <t>HÄRJEDALEN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10959-2022</t>
        </is>
      </c>
      <c r="B417" s="1" t="n">
        <v>44628.36402777778</v>
      </c>
      <c r="C417" s="1" t="n">
        <v>46046</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22505-2025</t>
        </is>
      </c>
      <c r="B418" s="1" t="n">
        <v>45786.66425925926</v>
      </c>
      <c r="C418" s="1" t="n">
        <v>46046</v>
      </c>
      <c r="D418" t="inlineStr">
        <is>
          <t>JÄMTLANDS LÄN</t>
        </is>
      </c>
      <c r="E418" t="inlineStr">
        <is>
          <t>HÄRJEDALEN</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45747-2023</t>
        </is>
      </c>
      <c r="B419" s="1" t="n">
        <v>45195.3878125</v>
      </c>
      <c r="C419" s="1" t="n">
        <v>46046</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32962-2024</t>
        </is>
      </c>
      <c r="B420" s="1" t="n">
        <v>45517.38320601852</v>
      </c>
      <c r="C420" s="1" t="n">
        <v>46046</v>
      </c>
      <c r="D420" t="inlineStr">
        <is>
          <t>JÄMTLANDS LÄN</t>
        </is>
      </c>
      <c r="E420" t="inlineStr">
        <is>
          <t>HÄRJEDALEN</t>
        </is>
      </c>
      <c r="G420" t="n">
        <v>7</v>
      </c>
      <c r="H420" t="n">
        <v>0</v>
      </c>
      <c r="I420" t="n">
        <v>0</v>
      </c>
      <c r="J420" t="n">
        <v>0</v>
      </c>
      <c r="K420" t="n">
        <v>0</v>
      </c>
      <c r="L420" t="n">
        <v>0</v>
      </c>
      <c r="M420" t="n">
        <v>0</v>
      </c>
      <c r="N420" t="n">
        <v>0</v>
      </c>
      <c r="O420" t="n">
        <v>0</v>
      </c>
      <c r="P420" t="n">
        <v>0</v>
      </c>
      <c r="Q420" t="n">
        <v>0</v>
      </c>
      <c r="R420" s="2" t="inlineStr"/>
    </row>
    <row r="421" ht="15" customHeight="1">
      <c r="A421" t="inlineStr">
        <is>
          <t>A 11818-2023</t>
        </is>
      </c>
      <c r="B421" s="1" t="n">
        <v>44994</v>
      </c>
      <c r="C421" s="1" t="n">
        <v>46046</v>
      </c>
      <c r="D421" t="inlineStr">
        <is>
          <t>JÄMTLANDS LÄN</t>
        </is>
      </c>
      <c r="E421" t="inlineStr">
        <is>
          <t>HÄRJEDALEN</t>
        </is>
      </c>
      <c r="G421" t="n">
        <v>8.9</v>
      </c>
      <c r="H421" t="n">
        <v>0</v>
      </c>
      <c r="I421" t="n">
        <v>0</v>
      </c>
      <c r="J421" t="n">
        <v>0</v>
      </c>
      <c r="K421" t="n">
        <v>0</v>
      </c>
      <c r="L421" t="n">
        <v>0</v>
      </c>
      <c r="M421" t="n">
        <v>0</v>
      </c>
      <c r="N421" t="n">
        <v>0</v>
      </c>
      <c r="O421" t="n">
        <v>0</v>
      </c>
      <c r="P421" t="n">
        <v>0</v>
      </c>
      <c r="Q421" t="n">
        <v>0</v>
      </c>
      <c r="R421" s="2" t="inlineStr"/>
    </row>
    <row r="422" ht="15" customHeight="1">
      <c r="A422" t="inlineStr">
        <is>
          <t>A 27541-2023</t>
        </is>
      </c>
      <c r="B422" s="1" t="n">
        <v>45097</v>
      </c>
      <c r="C422" s="1" t="n">
        <v>46046</v>
      </c>
      <c r="D422" t="inlineStr">
        <is>
          <t>JÄMTLANDS LÄN</t>
        </is>
      </c>
      <c r="E422" t="inlineStr">
        <is>
          <t>HÄRJEDALEN</t>
        </is>
      </c>
      <c r="F422" t="inlineStr">
        <is>
          <t>Bergvik skog väst AB</t>
        </is>
      </c>
      <c r="G422" t="n">
        <v>4</v>
      </c>
      <c r="H422" t="n">
        <v>0</v>
      </c>
      <c r="I422" t="n">
        <v>0</v>
      </c>
      <c r="J422" t="n">
        <v>0</v>
      </c>
      <c r="K422" t="n">
        <v>0</v>
      </c>
      <c r="L422" t="n">
        <v>0</v>
      </c>
      <c r="M422" t="n">
        <v>0</v>
      </c>
      <c r="N422" t="n">
        <v>0</v>
      </c>
      <c r="O422" t="n">
        <v>0</v>
      </c>
      <c r="P422" t="n">
        <v>0</v>
      </c>
      <c r="Q422" t="n">
        <v>0</v>
      </c>
      <c r="R422" s="2" t="inlineStr"/>
    </row>
    <row r="423" ht="15" customHeight="1">
      <c r="A423" t="inlineStr">
        <is>
          <t>A 29774-2024</t>
        </is>
      </c>
      <c r="B423" s="1" t="n">
        <v>45485</v>
      </c>
      <c r="C423" s="1" t="n">
        <v>46046</v>
      </c>
      <c r="D423" t="inlineStr">
        <is>
          <t>JÄMTLANDS LÄN</t>
        </is>
      </c>
      <c r="E423" t="inlineStr">
        <is>
          <t>HÄRJEDALEN</t>
        </is>
      </c>
      <c r="G423" t="n">
        <v>4.5</v>
      </c>
      <c r="H423" t="n">
        <v>0</v>
      </c>
      <c r="I423" t="n">
        <v>0</v>
      </c>
      <c r="J423" t="n">
        <v>0</v>
      </c>
      <c r="K423" t="n">
        <v>0</v>
      </c>
      <c r="L423" t="n">
        <v>0</v>
      </c>
      <c r="M423" t="n">
        <v>0</v>
      </c>
      <c r="N423" t="n">
        <v>0</v>
      </c>
      <c r="O423" t="n">
        <v>0</v>
      </c>
      <c r="P423" t="n">
        <v>0</v>
      </c>
      <c r="Q423" t="n">
        <v>0</v>
      </c>
      <c r="R423" s="2" t="inlineStr"/>
    </row>
    <row r="424" ht="15" customHeight="1">
      <c r="A424" t="inlineStr">
        <is>
          <t>A 22509-2025</t>
        </is>
      </c>
      <c r="B424" s="1" t="n">
        <v>45786.66853009259</v>
      </c>
      <c r="C424" s="1" t="n">
        <v>46046</v>
      </c>
      <c r="D424" t="inlineStr">
        <is>
          <t>JÄMTLANDS LÄN</t>
        </is>
      </c>
      <c r="E424" t="inlineStr">
        <is>
          <t>HÄRJEDALEN</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61042-2024</t>
        </is>
      </c>
      <c r="B425" s="1" t="n">
        <v>45645.47609953704</v>
      </c>
      <c r="C425" s="1" t="n">
        <v>46046</v>
      </c>
      <c r="D425" t="inlineStr">
        <is>
          <t>JÄMTLANDS LÄN</t>
        </is>
      </c>
      <c r="E425" t="inlineStr">
        <is>
          <t>HÄRJEDALEN</t>
        </is>
      </c>
      <c r="F425" t="inlineStr">
        <is>
          <t>Bergvik skog väst AB</t>
        </is>
      </c>
      <c r="G425" t="n">
        <v>3.1</v>
      </c>
      <c r="H425" t="n">
        <v>0</v>
      </c>
      <c r="I425" t="n">
        <v>0</v>
      </c>
      <c r="J425" t="n">
        <v>0</v>
      </c>
      <c r="K425" t="n">
        <v>0</v>
      </c>
      <c r="L425" t="n">
        <v>0</v>
      </c>
      <c r="M425" t="n">
        <v>0</v>
      </c>
      <c r="N425" t="n">
        <v>0</v>
      </c>
      <c r="O425" t="n">
        <v>0</v>
      </c>
      <c r="P425" t="n">
        <v>0</v>
      </c>
      <c r="Q425" t="n">
        <v>0</v>
      </c>
      <c r="R425" s="2" t="inlineStr"/>
    </row>
    <row r="426" ht="15" customHeight="1">
      <c r="A426" t="inlineStr">
        <is>
          <t>A 40578-2023</t>
        </is>
      </c>
      <c r="B426" s="1" t="n">
        <v>45170.46923611111</v>
      </c>
      <c r="C426" s="1" t="n">
        <v>46046</v>
      </c>
      <c r="D426" t="inlineStr">
        <is>
          <t>JÄMTLANDS LÄN</t>
        </is>
      </c>
      <c r="E426" t="inlineStr">
        <is>
          <t>HÄRJEDALEN</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8136-2024</t>
        </is>
      </c>
      <c r="B427" s="1" t="n">
        <v>45351</v>
      </c>
      <c r="C427" s="1" t="n">
        <v>46046</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56587-2023</t>
        </is>
      </c>
      <c r="B428" s="1" t="n">
        <v>45243.63798611111</v>
      </c>
      <c r="C428" s="1" t="n">
        <v>46046</v>
      </c>
      <c r="D428" t="inlineStr">
        <is>
          <t>JÄMTLANDS LÄN</t>
        </is>
      </c>
      <c r="E428" t="inlineStr">
        <is>
          <t>HÄRJEDALEN</t>
        </is>
      </c>
      <c r="G428" t="n">
        <v>13.4</v>
      </c>
      <c r="H428" t="n">
        <v>0</v>
      </c>
      <c r="I428" t="n">
        <v>0</v>
      </c>
      <c r="J428" t="n">
        <v>0</v>
      </c>
      <c r="K428" t="n">
        <v>0</v>
      </c>
      <c r="L428" t="n">
        <v>0</v>
      </c>
      <c r="M428" t="n">
        <v>0</v>
      </c>
      <c r="N428" t="n">
        <v>0</v>
      </c>
      <c r="O428" t="n">
        <v>0</v>
      </c>
      <c r="P428" t="n">
        <v>0</v>
      </c>
      <c r="Q428" t="n">
        <v>0</v>
      </c>
      <c r="R428" s="2" t="inlineStr"/>
    </row>
    <row r="429" ht="15" customHeight="1">
      <c r="A429" t="inlineStr">
        <is>
          <t>A 39453-2021</t>
        </is>
      </c>
      <c r="B429" s="1" t="n">
        <v>44414.58354166667</v>
      </c>
      <c r="C429" s="1" t="n">
        <v>46046</v>
      </c>
      <c r="D429" t="inlineStr">
        <is>
          <t>JÄMTLANDS LÄN</t>
        </is>
      </c>
      <c r="E429" t="inlineStr">
        <is>
          <t>HÄRJEDALEN</t>
        </is>
      </c>
      <c r="G429" t="n">
        <v>0.9</v>
      </c>
      <c r="H429" t="n">
        <v>0</v>
      </c>
      <c r="I429" t="n">
        <v>0</v>
      </c>
      <c r="J429" t="n">
        <v>0</v>
      </c>
      <c r="K429" t="n">
        <v>0</v>
      </c>
      <c r="L429" t="n">
        <v>0</v>
      </c>
      <c r="M429" t="n">
        <v>0</v>
      </c>
      <c r="N429" t="n">
        <v>0</v>
      </c>
      <c r="O429" t="n">
        <v>0</v>
      </c>
      <c r="P429" t="n">
        <v>0</v>
      </c>
      <c r="Q429" t="n">
        <v>0</v>
      </c>
      <c r="R429" s="2" t="inlineStr"/>
    </row>
    <row r="430" ht="15" customHeight="1">
      <c r="A430" t="inlineStr">
        <is>
          <t>A 22504-2025</t>
        </is>
      </c>
      <c r="B430" s="1" t="n">
        <v>45786.66209490741</v>
      </c>
      <c r="C430" s="1" t="n">
        <v>46046</v>
      </c>
      <c r="D430" t="inlineStr">
        <is>
          <t>JÄMTLANDS LÄN</t>
        </is>
      </c>
      <c r="E430" t="inlineStr">
        <is>
          <t>HÄRJEDALEN</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53432-2023</t>
        </is>
      </c>
      <c r="B431" s="1" t="n">
        <v>45229.92739583334</v>
      </c>
      <c r="C431" s="1" t="n">
        <v>46046</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22502-2025</t>
        </is>
      </c>
      <c r="B432" s="1" t="n">
        <v>45786.66032407407</v>
      </c>
      <c r="C432" s="1" t="n">
        <v>46046</v>
      </c>
      <c r="D432" t="inlineStr">
        <is>
          <t>JÄMTLANDS LÄN</t>
        </is>
      </c>
      <c r="E432" t="inlineStr">
        <is>
          <t>HÄRJEDALEN</t>
        </is>
      </c>
      <c r="F432" t="inlineStr">
        <is>
          <t>Sveaskog</t>
        </is>
      </c>
      <c r="G432" t="n">
        <v>20.1</v>
      </c>
      <c r="H432" t="n">
        <v>0</v>
      </c>
      <c r="I432" t="n">
        <v>0</v>
      </c>
      <c r="J432" t="n">
        <v>0</v>
      </c>
      <c r="K432" t="n">
        <v>0</v>
      </c>
      <c r="L432" t="n">
        <v>0</v>
      </c>
      <c r="M432" t="n">
        <v>0</v>
      </c>
      <c r="N432" t="n">
        <v>0</v>
      </c>
      <c r="O432" t="n">
        <v>0</v>
      </c>
      <c r="P432" t="n">
        <v>0</v>
      </c>
      <c r="Q432" t="n">
        <v>0</v>
      </c>
      <c r="R432" s="2" t="inlineStr"/>
    </row>
    <row r="433" ht="15" customHeight="1">
      <c r="A433" t="inlineStr">
        <is>
          <t>A 45363-2024</t>
        </is>
      </c>
      <c r="B433" s="1" t="n">
        <v>45576.48657407407</v>
      </c>
      <c r="C433" s="1" t="n">
        <v>46046</v>
      </c>
      <c r="D433" t="inlineStr">
        <is>
          <t>JÄMTLANDS LÄN</t>
        </is>
      </c>
      <c r="E433" t="inlineStr">
        <is>
          <t>HÄRJEDALEN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4752-2025</t>
        </is>
      </c>
      <c r="B434" s="1" t="n">
        <v>45688.46570601852</v>
      </c>
      <c r="C434" s="1" t="n">
        <v>46046</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51601-2024</t>
        </is>
      </c>
      <c r="B435" s="1" t="n">
        <v>45604.66936342593</v>
      </c>
      <c r="C435" s="1" t="n">
        <v>46046</v>
      </c>
      <c r="D435" t="inlineStr">
        <is>
          <t>JÄMTLANDS LÄN</t>
        </is>
      </c>
      <c r="E435" t="inlineStr">
        <is>
          <t>HÄRJEDALEN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54079-2024</t>
        </is>
      </c>
      <c r="B436" s="1" t="n">
        <v>45616.49530092593</v>
      </c>
      <c r="C436" s="1" t="n">
        <v>46046</v>
      </c>
      <c r="D436" t="inlineStr">
        <is>
          <t>JÄMTLANDS LÄN</t>
        </is>
      </c>
      <c r="E436" t="inlineStr">
        <is>
          <t>HÄRJEDALEN</t>
        </is>
      </c>
      <c r="G436" t="n">
        <v>1.4</v>
      </c>
      <c r="H436" t="n">
        <v>0</v>
      </c>
      <c r="I436" t="n">
        <v>0</v>
      </c>
      <c r="J436" t="n">
        <v>0</v>
      </c>
      <c r="K436" t="n">
        <v>0</v>
      </c>
      <c r="L436" t="n">
        <v>0</v>
      </c>
      <c r="M436" t="n">
        <v>0</v>
      </c>
      <c r="N436" t="n">
        <v>0</v>
      </c>
      <c r="O436" t="n">
        <v>0</v>
      </c>
      <c r="P436" t="n">
        <v>0</v>
      </c>
      <c r="Q436" t="n">
        <v>0</v>
      </c>
      <c r="R436" s="2" t="inlineStr"/>
    </row>
    <row r="437" ht="15" customHeight="1">
      <c r="A437" t="inlineStr">
        <is>
          <t>A 41387-2021</t>
        </is>
      </c>
      <c r="B437" s="1" t="n">
        <v>44424</v>
      </c>
      <c r="C437" s="1" t="n">
        <v>46046</v>
      </c>
      <c r="D437" t="inlineStr">
        <is>
          <t>JÄMTLANDS LÄN</t>
        </is>
      </c>
      <c r="E437" t="inlineStr">
        <is>
          <t>HÄRJEDALEN</t>
        </is>
      </c>
      <c r="G437" t="n">
        <v>9.5</v>
      </c>
      <c r="H437" t="n">
        <v>0</v>
      </c>
      <c r="I437" t="n">
        <v>0</v>
      </c>
      <c r="J437" t="n">
        <v>0</v>
      </c>
      <c r="K437" t="n">
        <v>0</v>
      </c>
      <c r="L437" t="n">
        <v>0</v>
      </c>
      <c r="M437" t="n">
        <v>0</v>
      </c>
      <c r="N437" t="n">
        <v>0</v>
      </c>
      <c r="O437" t="n">
        <v>0</v>
      </c>
      <c r="P437" t="n">
        <v>0</v>
      </c>
      <c r="Q437" t="n">
        <v>0</v>
      </c>
      <c r="R437" s="2" t="inlineStr"/>
    </row>
    <row r="438" ht="15" customHeight="1">
      <c r="A438" t="inlineStr">
        <is>
          <t>A 10012-2023</t>
        </is>
      </c>
      <c r="B438" s="1" t="n">
        <v>44985.6125</v>
      </c>
      <c r="C438" s="1" t="n">
        <v>46046</v>
      </c>
      <c r="D438" t="inlineStr">
        <is>
          <t>JÄMTLANDS LÄN</t>
        </is>
      </c>
      <c r="E438" t="inlineStr">
        <is>
          <t>HÄRJEDALEN</t>
        </is>
      </c>
      <c r="F438" t="inlineStr">
        <is>
          <t>Holmen skog AB</t>
        </is>
      </c>
      <c r="G438" t="n">
        <v>0.8</v>
      </c>
      <c r="H438" t="n">
        <v>0</v>
      </c>
      <c r="I438" t="n">
        <v>0</v>
      </c>
      <c r="J438" t="n">
        <v>0</v>
      </c>
      <c r="K438" t="n">
        <v>0</v>
      </c>
      <c r="L438" t="n">
        <v>0</v>
      </c>
      <c r="M438" t="n">
        <v>0</v>
      </c>
      <c r="N438" t="n">
        <v>0</v>
      </c>
      <c r="O438" t="n">
        <v>0</v>
      </c>
      <c r="P438" t="n">
        <v>0</v>
      </c>
      <c r="Q438" t="n">
        <v>0</v>
      </c>
      <c r="R438" s="2" t="inlineStr"/>
    </row>
    <row r="439" ht="15" customHeight="1">
      <c r="A439" t="inlineStr">
        <is>
          <t>A 22915-2025</t>
        </is>
      </c>
      <c r="B439" s="1" t="n">
        <v>45790.43</v>
      </c>
      <c r="C439" s="1" t="n">
        <v>46046</v>
      </c>
      <c r="D439" t="inlineStr">
        <is>
          <t>JÄMTLANDS LÄN</t>
        </is>
      </c>
      <c r="E439" t="inlineStr">
        <is>
          <t>HÄRJEDALEN</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56251-2024</t>
        </is>
      </c>
      <c r="B440" s="1" t="n">
        <v>45624.63614583333</v>
      </c>
      <c r="C440" s="1" t="n">
        <v>46046</v>
      </c>
      <c r="D440" t="inlineStr">
        <is>
          <t>JÄMTLANDS LÄN</t>
        </is>
      </c>
      <c r="E440" t="inlineStr">
        <is>
          <t>HÄRJEDALEN</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29712-2024</t>
        </is>
      </c>
      <c r="B441" s="1" t="n">
        <v>45485</v>
      </c>
      <c r="C441" s="1" t="n">
        <v>46046</v>
      </c>
      <c r="D441" t="inlineStr">
        <is>
          <t>JÄMTLANDS LÄN</t>
        </is>
      </c>
      <c r="E441" t="inlineStr">
        <is>
          <t>HÄRJEDALEN</t>
        </is>
      </c>
      <c r="F441" t="inlineStr">
        <is>
          <t>Holmen skog AB</t>
        </is>
      </c>
      <c r="G441" t="n">
        <v>9.5</v>
      </c>
      <c r="H441" t="n">
        <v>0</v>
      </c>
      <c r="I441" t="n">
        <v>0</v>
      </c>
      <c r="J441" t="n">
        <v>0</v>
      </c>
      <c r="K441" t="n">
        <v>0</v>
      </c>
      <c r="L441" t="n">
        <v>0</v>
      </c>
      <c r="M441" t="n">
        <v>0</v>
      </c>
      <c r="N441" t="n">
        <v>0</v>
      </c>
      <c r="O441" t="n">
        <v>0</v>
      </c>
      <c r="P441" t="n">
        <v>0</v>
      </c>
      <c r="Q441" t="n">
        <v>0</v>
      </c>
      <c r="R441" s="2" t="inlineStr"/>
    </row>
    <row r="442" ht="15" customHeight="1">
      <c r="A442" t="inlineStr">
        <is>
          <t>A 18620-2023</t>
        </is>
      </c>
      <c r="B442" s="1" t="n">
        <v>45041</v>
      </c>
      <c r="C442" s="1" t="n">
        <v>46046</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32964-2024</t>
        </is>
      </c>
      <c r="B443" s="1" t="n">
        <v>45517.39274305556</v>
      </c>
      <c r="C443" s="1" t="n">
        <v>46046</v>
      </c>
      <c r="D443" t="inlineStr">
        <is>
          <t>JÄMTLANDS LÄN</t>
        </is>
      </c>
      <c r="E443" t="inlineStr">
        <is>
          <t>HÄRJEDALEN</t>
        </is>
      </c>
      <c r="F443" t="inlineStr">
        <is>
          <t>Kommuner</t>
        </is>
      </c>
      <c r="G443" t="n">
        <v>30.3</v>
      </c>
      <c r="H443" t="n">
        <v>0</v>
      </c>
      <c r="I443" t="n">
        <v>0</v>
      </c>
      <c r="J443" t="n">
        <v>0</v>
      </c>
      <c r="K443" t="n">
        <v>0</v>
      </c>
      <c r="L443" t="n">
        <v>0</v>
      </c>
      <c r="M443" t="n">
        <v>0</v>
      </c>
      <c r="N443" t="n">
        <v>0</v>
      </c>
      <c r="O443" t="n">
        <v>0</v>
      </c>
      <c r="P443" t="n">
        <v>0</v>
      </c>
      <c r="Q443" t="n">
        <v>0</v>
      </c>
      <c r="R443" s="2" t="inlineStr"/>
    </row>
    <row r="444" ht="15" customHeight="1">
      <c r="A444" t="inlineStr">
        <is>
          <t>A 29631-2024</t>
        </is>
      </c>
      <c r="B444" s="1" t="n">
        <v>45484.66521990741</v>
      </c>
      <c r="C444" s="1" t="n">
        <v>46046</v>
      </c>
      <c r="D444" t="inlineStr">
        <is>
          <t>JÄMTLANDS LÄN</t>
        </is>
      </c>
      <c r="E444" t="inlineStr">
        <is>
          <t>HÄRJEDALEN</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31588-2024</t>
        </is>
      </c>
      <c r="B445" s="1" t="n">
        <v>45506.36702546296</v>
      </c>
      <c r="C445" s="1" t="n">
        <v>46046</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23068-2025</t>
        </is>
      </c>
      <c r="B446" s="1" t="n">
        <v>45790.87653935186</v>
      </c>
      <c r="C446" s="1" t="n">
        <v>46046</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23358-2025</t>
        </is>
      </c>
      <c r="B447" s="1" t="n">
        <v>45791</v>
      </c>
      <c r="C447" s="1" t="n">
        <v>46046</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55867-2024</t>
        </is>
      </c>
      <c r="B448" s="1" t="n">
        <v>45622</v>
      </c>
      <c r="C448" s="1" t="n">
        <v>46046</v>
      </c>
      <c r="D448" t="inlineStr">
        <is>
          <t>JÄMTLANDS LÄN</t>
        </is>
      </c>
      <c r="E448" t="inlineStr">
        <is>
          <t>HÄRJEDALEN</t>
        </is>
      </c>
      <c r="F448" t="inlineStr">
        <is>
          <t>Bergvik skog väst AB</t>
        </is>
      </c>
      <c r="G448" t="n">
        <v>14.4</v>
      </c>
      <c r="H448" t="n">
        <v>0</v>
      </c>
      <c r="I448" t="n">
        <v>0</v>
      </c>
      <c r="J448" t="n">
        <v>0</v>
      </c>
      <c r="K448" t="n">
        <v>0</v>
      </c>
      <c r="L448" t="n">
        <v>0</v>
      </c>
      <c r="M448" t="n">
        <v>0</v>
      </c>
      <c r="N448" t="n">
        <v>0</v>
      </c>
      <c r="O448" t="n">
        <v>0</v>
      </c>
      <c r="P448" t="n">
        <v>0</v>
      </c>
      <c r="Q448" t="n">
        <v>0</v>
      </c>
      <c r="R448" s="2" t="inlineStr"/>
    </row>
    <row r="449" ht="15" customHeight="1">
      <c r="A449" t="inlineStr">
        <is>
          <t>A 23596-2025</t>
        </is>
      </c>
      <c r="B449" s="1" t="n">
        <v>45792.64795138889</v>
      </c>
      <c r="C449" s="1" t="n">
        <v>46046</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23518-2025</t>
        </is>
      </c>
      <c r="B450" s="1" t="n">
        <v>45792.50942129629</v>
      </c>
      <c r="C450" s="1" t="n">
        <v>46046</v>
      </c>
      <c r="D450" t="inlineStr">
        <is>
          <t>JÄMTLANDS LÄN</t>
        </is>
      </c>
      <c r="E450" t="inlineStr">
        <is>
          <t>HÄRJEDALEN</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46046</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46046</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23731-2025</t>
        </is>
      </c>
      <c r="B453" s="1" t="n">
        <v>45793.41994212963</v>
      </c>
      <c r="C453" s="1" t="n">
        <v>46046</v>
      </c>
      <c r="D453" t="inlineStr">
        <is>
          <t>JÄMTLANDS LÄN</t>
        </is>
      </c>
      <c r="E453" t="inlineStr">
        <is>
          <t>HÄRJEDALEN</t>
        </is>
      </c>
      <c r="F453" t="inlineStr">
        <is>
          <t>Sveaskog</t>
        </is>
      </c>
      <c r="G453" t="n">
        <v>11.7</v>
      </c>
      <c r="H453" t="n">
        <v>0</v>
      </c>
      <c r="I453" t="n">
        <v>0</v>
      </c>
      <c r="J453" t="n">
        <v>0</v>
      </c>
      <c r="K453" t="n">
        <v>0</v>
      </c>
      <c r="L453" t="n">
        <v>0</v>
      </c>
      <c r="M453" t="n">
        <v>0</v>
      </c>
      <c r="N453" t="n">
        <v>0</v>
      </c>
      <c r="O453" t="n">
        <v>0</v>
      </c>
      <c r="P453" t="n">
        <v>0</v>
      </c>
      <c r="Q453" t="n">
        <v>0</v>
      </c>
      <c r="R453" s="2" t="inlineStr"/>
    </row>
    <row r="454" ht="15" customHeight="1">
      <c r="A454" t="inlineStr">
        <is>
          <t>A 15003-2025</t>
        </is>
      </c>
      <c r="B454" s="1" t="n">
        <v>45743.61899305556</v>
      </c>
      <c r="C454" s="1" t="n">
        <v>46046</v>
      </c>
      <c r="D454" t="inlineStr">
        <is>
          <t>JÄMTLANDS LÄN</t>
        </is>
      </c>
      <c r="E454" t="inlineStr">
        <is>
          <t>HÄRJEDALEN</t>
        </is>
      </c>
      <c r="G454" t="n">
        <v>0.3</v>
      </c>
      <c r="H454" t="n">
        <v>0</v>
      </c>
      <c r="I454" t="n">
        <v>0</v>
      </c>
      <c r="J454" t="n">
        <v>0</v>
      </c>
      <c r="K454" t="n">
        <v>0</v>
      </c>
      <c r="L454" t="n">
        <v>0</v>
      </c>
      <c r="M454" t="n">
        <v>0</v>
      </c>
      <c r="N454" t="n">
        <v>0</v>
      </c>
      <c r="O454" t="n">
        <v>0</v>
      </c>
      <c r="P454" t="n">
        <v>0</v>
      </c>
      <c r="Q454" t="n">
        <v>0</v>
      </c>
      <c r="R454" s="2" t="inlineStr"/>
    </row>
    <row r="455" ht="15" customHeight="1">
      <c r="A455" t="inlineStr">
        <is>
          <t>A 15004-2025</t>
        </is>
      </c>
      <c r="B455" s="1" t="n">
        <v>45743.62116898148</v>
      </c>
      <c r="C455" s="1" t="n">
        <v>46046</v>
      </c>
      <c r="D455" t="inlineStr">
        <is>
          <t>JÄMTLANDS LÄN</t>
        </is>
      </c>
      <c r="E455" t="inlineStr">
        <is>
          <t>HÄRJEDALEN</t>
        </is>
      </c>
      <c r="G455" t="n">
        <v>2.1</v>
      </c>
      <c r="H455" t="n">
        <v>0</v>
      </c>
      <c r="I455" t="n">
        <v>0</v>
      </c>
      <c r="J455" t="n">
        <v>0</v>
      </c>
      <c r="K455" t="n">
        <v>0</v>
      </c>
      <c r="L455" t="n">
        <v>0</v>
      </c>
      <c r="M455" t="n">
        <v>0</v>
      </c>
      <c r="N455" t="n">
        <v>0</v>
      </c>
      <c r="O455" t="n">
        <v>0</v>
      </c>
      <c r="P455" t="n">
        <v>0</v>
      </c>
      <c r="Q455" t="n">
        <v>0</v>
      </c>
      <c r="R455" s="2" t="inlineStr"/>
    </row>
    <row r="456" ht="15" customHeight="1">
      <c r="A456" t="inlineStr">
        <is>
          <t>A 31791-2024</t>
        </is>
      </c>
      <c r="B456" s="1" t="n">
        <v>45509</v>
      </c>
      <c r="C456" s="1" t="n">
        <v>46046</v>
      </c>
      <c r="D456" t="inlineStr">
        <is>
          <t>JÄMTLANDS LÄN</t>
        </is>
      </c>
      <c r="E456" t="inlineStr">
        <is>
          <t>HÄRJEDALEN</t>
        </is>
      </c>
      <c r="F456" t="inlineStr">
        <is>
          <t>Övriga statliga verk och myndigheter</t>
        </is>
      </c>
      <c r="G456" t="n">
        <v>32</v>
      </c>
      <c r="H456" t="n">
        <v>0</v>
      </c>
      <c r="I456" t="n">
        <v>0</v>
      </c>
      <c r="J456" t="n">
        <v>0</v>
      </c>
      <c r="K456" t="n">
        <v>0</v>
      </c>
      <c r="L456" t="n">
        <v>0</v>
      </c>
      <c r="M456" t="n">
        <v>0</v>
      </c>
      <c r="N456" t="n">
        <v>0</v>
      </c>
      <c r="O456" t="n">
        <v>0</v>
      </c>
      <c r="P456" t="n">
        <v>0</v>
      </c>
      <c r="Q456" t="n">
        <v>0</v>
      </c>
      <c r="R456" s="2" t="inlineStr"/>
    </row>
    <row r="457" ht="15" customHeight="1">
      <c r="A457" t="inlineStr">
        <is>
          <t>A 4642-2025</t>
        </is>
      </c>
      <c r="B457" s="1" t="n">
        <v>45687.65449074074</v>
      </c>
      <c r="C457" s="1" t="n">
        <v>46046</v>
      </c>
      <c r="D457" t="inlineStr">
        <is>
          <t>JÄMTLANDS LÄN</t>
        </is>
      </c>
      <c r="E457" t="inlineStr">
        <is>
          <t>HÄRJEDALEN</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21796-2022</t>
        </is>
      </c>
      <c r="B458" s="1" t="n">
        <v>44708</v>
      </c>
      <c r="C458" s="1" t="n">
        <v>46046</v>
      </c>
      <c r="D458" t="inlineStr">
        <is>
          <t>JÄMTLANDS LÄN</t>
        </is>
      </c>
      <c r="E458" t="inlineStr">
        <is>
          <t>HÄRJEDALEN</t>
        </is>
      </c>
      <c r="F458" t="inlineStr">
        <is>
          <t>Holmen skog AB</t>
        </is>
      </c>
      <c r="G458" t="n">
        <v>22.3</v>
      </c>
      <c r="H458" t="n">
        <v>0</v>
      </c>
      <c r="I458" t="n">
        <v>0</v>
      </c>
      <c r="J458" t="n">
        <v>0</v>
      </c>
      <c r="K458" t="n">
        <v>0</v>
      </c>
      <c r="L458" t="n">
        <v>0</v>
      </c>
      <c r="M458" t="n">
        <v>0</v>
      </c>
      <c r="N458" t="n">
        <v>0</v>
      </c>
      <c r="O458" t="n">
        <v>0</v>
      </c>
      <c r="P458" t="n">
        <v>0</v>
      </c>
      <c r="Q458" t="n">
        <v>0</v>
      </c>
      <c r="R458" s="2" t="inlineStr"/>
    </row>
    <row r="459" ht="15" customHeight="1">
      <c r="A459" t="inlineStr">
        <is>
          <t>A 6001-2023</t>
        </is>
      </c>
      <c r="B459" s="1" t="n">
        <v>44964</v>
      </c>
      <c r="C459" s="1" t="n">
        <v>46046</v>
      </c>
      <c r="D459" t="inlineStr">
        <is>
          <t>JÄMTLANDS LÄN</t>
        </is>
      </c>
      <c r="E459" t="inlineStr">
        <is>
          <t>HÄRJEDALEN</t>
        </is>
      </c>
      <c r="G459" t="n">
        <v>1.3</v>
      </c>
      <c r="H459" t="n">
        <v>0</v>
      </c>
      <c r="I459" t="n">
        <v>0</v>
      </c>
      <c r="J459" t="n">
        <v>0</v>
      </c>
      <c r="K459" t="n">
        <v>0</v>
      </c>
      <c r="L459" t="n">
        <v>0</v>
      </c>
      <c r="M459" t="n">
        <v>0</v>
      </c>
      <c r="N459" t="n">
        <v>0</v>
      </c>
      <c r="O459" t="n">
        <v>0</v>
      </c>
      <c r="P459" t="n">
        <v>0</v>
      </c>
      <c r="Q459" t="n">
        <v>0</v>
      </c>
      <c r="R459" s="2" t="inlineStr"/>
    </row>
    <row r="460" ht="15" customHeight="1">
      <c r="A460" t="inlineStr">
        <is>
          <t>A 23600-2025</t>
        </is>
      </c>
      <c r="B460" s="1" t="n">
        <v>45792.65047453704</v>
      </c>
      <c r="C460" s="1" t="n">
        <v>46046</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48438-2022</t>
        </is>
      </c>
      <c r="B461" s="1" t="n">
        <v>44858</v>
      </c>
      <c r="C461" s="1" t="n">
        <v>46046</v>
      </c>
      <c r="D461" t="inlineStr">
        <is>
          <t>JÄMTLANDS LÄN</t>
        </is>
      </c>
      <c r="E461" t="inlineStr">
        <is>
          <t>HÄRJEDALEN</t>
        </is>
      </c>
      <c r="G461" t="n">
        <v>1.9</v>
      </c>
      <c r="H461" t="n">
        <v>0</v>
      </c>
      <c r="I461" t="n">
        <v>0</v>
      </c>
      <c r="J461" t="n">
        <v>0</v>
      </c>
      <c r="K461" t="n">
        <v>0</v>
      </c>
      <c r="L461" t="n">
        <v>0</v>
      </c>
      <c r="M461" t="n">
        <v>0</v>
      </c>
      <c r="N461" t="n">
        <v>0</v>
      </c>
      <c r="O461" t="n">
        <v>0</v>
      </c>
      <c r="P461" t="n">
        <v>0</v>
      </c>
      <c r="Q461" t="n">
        <v>0</v>
      </c>
      <c r="R461" s="2" t="inlineStr"/>
    </row>
    <row r="462" ht="15" customHeight="1">
      <c r="A462" t="inlineStr">
        <is>
          <t>A 31811-2023</t>
        </is>
      </c>
      <c r="B462" s="1" t="n">
        <v>45118.47491898148</v>
      </c>
      <c r="C462" s="1" t="n">
        <v>46046</v>
      </c>
      <c r="D462" t="inlineStr">
        <is>
          <t>JÄMTLANDS LÄN</t>
        </is>
      </c>
      <c r="E462" t="inlineStr">
        <is>
          <t>HÄRJEDALEN</t>
        </is>
      </c>
      <c r="F462" t="inlineStr">
        <is>
          <t>Bergvik skog väst AB</t>
        </is>
      </c>
      <c r="G462" t="n">
        <v>12.5</v>
      </c>
      <c r="H462" t="n">
        <v>0</v>
      </c>
      <c r="I462" t="n">
        <v>0</v>
      </c>
      <c r="J462" t="n">
        <v>0</v>
      </c>
      <c r="K462" t="n">
        <v>0</v>
      </c>
      <c r="L462" t="n">
        <v>0</v>
      </c>
      <c r="M462" t="n">
        <v>0</v>
      </c>
      <c r="N462" t="n">
        <v>0</v>
      </c>
      <c r="O462" t="n">
        <v>0</v>
      </c>
      <c r="P462" t="n">
        <v>0</v>
      </c>
      <c r="Q462" t="n">
        <v>0</v>
      </c>
      <c r="R462" s="2" t="inlineStr"/>
    </row>
    <row r="463" ht="15" customHeight="1">
      <c r="A463" t="inlineStr">
        <is>
          <t>A 12462-2023</t>
        </is>
      </c>
      <c r="B463" s="1" t="n">
        <v>44999.60127314815</v>
      </c>
      <c r="C463" s="1" t="n">
        <v>46046</v>
      </c>
      <c r="D463" t="inlineStr">
        <is>
          <t>JÄMTLANDS LÄN</t>
        </is>
      </c>
      <c r="E463" t="inlineStr">
        <is>
          <t>HÄRJEDALEN</t>
        </is>
      </c>
      <c r="G463" t="n">
        <v>7.8</v>
      </c>
      <c r="H463" t="n">
        <v>0</v>
      </c>
      <c r="I463" t="n">
        <v>0</v>
      </c>
      <c r="J463" t="n">
        <v>0</v>
      </c>
      <c r="K463" t="n">
        <v>0</v>
      </c>
      <c r="L463" t="n">
        <v>0</v>
      </c>
      <c r="M463" t="n">
        <v>0</v>
      </c>
      <c r="N463" t="n">
        <v>0</v>
      </c>
      <c r="O463" t="n">
        <v>0</v>
      </c>
      <c r="P463" t="n">
        <v>0</v>
      </c>
      <c r="Q463" t="n">
        <v>0</v>
      </c>
      <c r="R463" s="2" t="inlineStr"/>
    </row>
    <row r="464" ht="15" customHeight="1">
      <c r="A464" t="inlineStr">
        <is>
          <t>A 848-2025</t>
        </is>
      </c>
      <c r="B464" s="1" t="n">
        <v>45665.59925925926</v>
      </c>
      <c r="C464" s="1" t="n">
        <v>46046</v>
      </c>
      <c r="D464" t="inlineStr">
        <is>
          <t>JÄMTLANDS LÄN</t>
        </is>
      </c>
      <c r="E464" t="inlineStr">
        <is>
          <t>HÄRJEDALEN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37054-2023</t>
        </is>
      </c>
      <c r="B465" s="1" t="n">
        <v>45154</v>
      </c>
      <c r="C465" s="1" t="n">
        <v>46046</v>
      </c>
      <c r="D465" t="inlineStr">
        <is>
          <t>JÄMTLANDS LÄN</t>
        </is>
      </c>
      <c r="E465" t="inlineStr">
        <is>
          <t>HÄRJEDALEN</t>
        </is>
      </c>
      <c r="G465" t="n">
        <v>8.9</v>
      </c>
      <c r="H465" t="n">
        <v>0</v>
      </c>
      <c r="I465" t="n">
        <v>0</v>
      </c>
      <c r="J465" t="n">
        <v>0</v>
      </c>
      <c r="K465" t="n">
        <v>0</v>
      </c>
      <c r="L465" t="n">
        <v>0</v>
      </c>
      <c r="M465" t="n">
        <v>0</v>
      </c>
      <c r="N465" t="n">
        <v>0</v>
      </c>
      <c r="O465" t="n">
        <v>0</v>
      </c>
      <c r="P465" t="n">
        <v>0</v>
      </c>
      <c r="Q465" t="n">
        <v>0</v>
      </c>
      <c r="R465" s="2" t="inlineStr"/>
    </row>
    <row r="466" ht="15" customHeight="1">
      <c r="A466" t="inlineStr">
        <is>
          <t>A 35813-2023</t>
        </is>
      </c>
      <c r="B466" s="1" t="n">
        <v>45147</v>
      </c>
      <c r="C466" s="1" t="n">
        <v>46046</v>
      </c>
      <c r="D466" t="inlineStr">
        <is>
          <t>JÄMTLANDS LÄN</t>
        </is>
      </c>
      <c r="E466" t="inlineStr">
        <is>
          <t>HÄRJEDALEN</t>
        </is>
      </c>
      <c r="G466" t="n">
        <v>15.1</v>
      </c>
      <c r="H466" t="n">
        <v>0</v>
      </c>
      <c r="I466" t="n">
        <v>0</v>
      </c>
      <c r="J466" t="n">
        <v>0</v>
      </c>
      <c r="K466" t="n">
        <v>0</v>
      </c>
      <c r="L466" t="n">
        <v>0</v>
      </c>
      <c r="M466" t="n">
        <v>0</v>
      </c>
      <c r="N466" t="n">
        <v>0</v>
      </c>
      <c r="O466" t="n">
        <v>0</v>
      </c>
      <c r="P466" t="n">
        <v>0</v>
      </c>
      <c r="Q466" t="n">
        <v>0</v>
      </c>
      <c r="R466" s="2" t="inlineStr"/>
    </row>
    <row r="467" ht="15" customHeight="1">
      <c r="A467" t="inlineStr">
        <is>
          <t>A 18144-2025</t>
        </is>
      </c>
      <c r="B467" s="1" t="n">
        <v>45761.61501157407</v>
      </c>
      <c r="C467" s="1" t="n">
        <v>46046</v>
      </c>
      <c r="D467" t="inlineStr">
        <is>
          <t>JÄMTLANDS LÄN</t>
        </is>
      </c>
      <c r="E467" t="inlineStr">
        <is>
          <t>HÄRJEDALEN</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2718-2025</t>
        </is>
      </c>
      <c r="B468" s="1" t="n">
        <v>45677.43028935185</v>
      </c>
      <c r="C468" s="1" t="n">
        <v>46046</v>
      </c>
      <c r="D468" t="inlineStr">
        <is>
          <t>JÄMTLANDS LÄN</t>
        </is>
      </c>
      <c r="E468" t="inlineStr">
        <is>
          <t>HÄRJEDALEN</t>
        </is>
      </c>
      <c r="G468" t="n">
        <v>0.7</v>
      </c>
      <c r="H468" t="n">
        <v>0</v>
      </c>
      <c r="I468" t="n">
        <v>0</v>
      </c>
      <c r="J468" t="n">
        <v>0</v>
      </c>
      <c r="K468" t="n">
        <v>0</v>
      </c>
      <c r="L468" t="n">
        <v>0</v>
      </c>
      <c r="M468" t="n">
        <v>0</v>
      </c>
      <c r="N468" t="n">
        <v>0</v>
      </c>
      <c r="O468" t="n">
        <v>0</v>
      </c>
      <c r="P468" t="n">
        <v>0</v>
      </c>
      <c r="Q468" t="n">
        <v>0</v>
      </c>
      <c r="R468" s="2" t="inlineStr"/>
    </row>
    <row r="469" ht="15" customHeight="1">
      <c r="A469" t="inlineStr">
        <is>
          <t>A 29594-2024</t>
        </is>
      </c>
      <c r="B469" s="1" t="n">
        <v>45484.58422453704</v>
      </c>
      <c r="C469" s="1" t="n">
        <v>46046</v>
      </c>
      <c r="D469" t="inlineStr">
        <is>
          <t>JÄMTLANDS LÄN</t>
        </is>
      </c>
      <c r="E469" t="inlineStr">
        <is>
          <t>HÄRJEDALEN</t>
        </is>
      </c>
      <c r="F469" t="inlineStr">
        <is>
          <t>Holmen skog AB</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54678-2024</t>
        </is>
      </c>
      <c r="B470" s="1" t="n">
        <v>45618.35097222222</v>
      </c>
      <c r="C470" s="1" t="n">
        <v>46046</v>
      </c>
      <c r="D470" t="inlineStr">
        <is>
          <t>JÄMTLANDS LÄN</t>
        </is>
      </c>
      <c r="E470" t="inlineStr">
        <is>
          <t>HÄRJEDALEN</t>
        </is>
      </c>
      <c r="G470" t="n">
        <v>16.9</v>
      </c>
      <c r="H470" t="n">
        <v>0</v>
      </c>
      <c r="I470" t="n">
        <v>0</v>
      </c>
      <c r="J470" t="n">
        <v>0</v>
      </c>
      <c r="K470" t="n">
        <v>0</v>
      </c>
      <c r="L470" t="n">
        <v>0</v>
      </c>
      <c r="M470" t="n">
        <v>0</v>
      </c>
      <c r="N470" t="n">
        <v>0</v>
      </c>
      <c r="O470" t="n">
        <v>0</v>
      </c>
      <c r="P470" t="n">
        <v>0</v>
      </c>
      <c r="Q470" t="n">
        <v>0</v>
      </c>
      <c r="R470" s="2" t="inlineStr"/>
    </row>
    <row r="471" ht="15" customHeight="1">
      <c r="A471" t="inlineStr">
        <is>
          <t>A 7430-2024</t>
        </is>
      </c>
      <c r="B471" s="1" t="n">
        <v>45345.65929398148</v>
      </c>
      <c r="C471" s="1" t="n">
        <v>46046</v>
      </c>
      <c r="D471" t="inlineStr">
        <is>
          <t>JÄMTLANDS LÄN</t>
        </is>
      </c>
      <c r="E471" t="inlineStr">
        <is>
          <t>HÄRJEDALEN</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23986-2025</t>
        </is>
      </c>
      <c r="B472" s="1" t="n">
        <v>45796.39770833333</v>
      </c>
      <c r="C472" s="1" t="n">
        <v>46046</v>
      </c>
      <c r="D472" t="inlineStr">
        <is>
          <t>JÄMTLANDS LÄN</t>
        </is>
      </c>
      <c r="E472" t="inlineStr">
        <is>
          <t>HÄRJEDALEN</t>
        </is>
      </c>
      <c r="G472" t="n">
        <v>5.1</v>
      </c>
      <c r="H472" t="n">
        <v>0</v>
      </c>
      <c r="I472" t="n">
        <v>0</v>
      </c>
      <c r="J472" t="n">
        <v>0</v>
      </c>
      <c r="K472" t="n">
        <v>0</v>
      </c>
      <c r="L472" t="n">
        <v>0</v>
      </c>
      <c r="M472" t="n">
        <v>0</v>
      </c>
      <c r="N472" t="n">
        <v>0</v>
      </c>
      <c r="O472" t="n">
        <v>0</v>
      </c>
      <c r="P472" t="n">
        <v>0</v>
      </c>
      <c r="Q472" t="n">
        <v>0</v>
      </c>
      <c r="R472" s="2" t="inlineStr"/>
    </row>
    <row r="473" ht="15" customHeight="1">
      <c r="A473" t="inlineStr">
        <is>
          <t>A 2336-2025</t>
        </is>
      </c>
      <c r="B473" s="1" t="n">
        <v>45673.65925925926</v>
      </c>
      <c r="C473" s="1" t="n">
        <v>46046</v>
      </c>
      <c r="D473" t="inlineStr">
        <is>
          <t>JÄMTLANDS LÄN</t>
        </is>
      </c>
      <c r="E473" t="inlineStr">
        <is>
          <t>HÄRJEDALEN</t>
        </is>
      </c>
      <c r="F473" t="inlineStr">
        <is>
          <t>Bergvik skog väst AB</t>
        </is>
      </c>
      <c r="G473" t="n">
        <v>19</v>
      </c>
      <c r="H473" t="n">
        <v>0</v>
      </c>
      <c r="I473" t="n">
        <v>0</v>
      </c>
      <c r="J473" t="n">
        <v>0</v>
      </c>
      <c r="K473" t="n">
        <v>0</v>
      </c>
      <c r="L473" t="n">
        <v>0</v>
      </c>
      <c r="M473" t="n">
        <v>0</v>
      </c>
      <c r="N473" t="n">
        <v>0</v>
      </c>
      <c r="O473" t="n">
        <v>0</v>
      </c>
      <c r="P473" t="n">
        <v>0</v>
      </c>
      <c r="Q473" t="n">
        <v>0</v>
      </c>
      <c r="R473" s="2" t="inlineStr"/>
    </row>
    <row r="474" ht="15" customHeight="1">
      <c r="A474" t="inlineStr">
        <is>
          <t>A 56043-2022</t>
        </is>
      </c>
      <c r="B474" s="1" t="n">
        <v>44889.56582175926</v>
      </c>
      <c r="C474" s="1" t="n">
        <v>46046</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23351-2025</t>
        </is>
      </c>
      <c r="B475" s="1" t="n">
        <v>45791</v>
      </c>
      <c r="C475" s="1" t="n">
        <v>46046</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56013-2023</t>
        </is>
      </c>
      <c r="B476" s="1" t="n">
        <v>45240</v>
      </c>
      <c r="C476" s="1" t="n">
        <v>46046</v>
      </c>
      <c r="D476" t="inlineStr">
        <is>
          <t>JÄMTLANDS LÄN</t>
        </is>
      </c>
      <c r="E476" t="inlineStr">
        <is>
          <t>HÄRJEDALEN</t>
        </is>
      </c>
      <c r="G476" t="n">
        <v>1.3</v>
      </c>
      <c r="H476" t="n">
        <v>0</v>
      </c>
      <c r="I476" t="n">
        <v>0</v>
      </c>
      <c r="J476" t="n">
        <v>0</v>
      </c>
      <c r="K476" t="n">
        <v>0</v>
      </c>
      <c r="L476" t="n">
        <v>0</v>
      </c>
      <c r="M476" t="n">
        <v>0</v>
      </c>
      <c r="N476" t="n">
        <v>0</v>
      </c>
      <c r="O476" t="n">
        <v>0</v>
      </c>
      <c r="P476" t="n">
        <v>0</v>
      </c>
      <c r="Q476" t="n">
        <v>0</v>
      </c>
      <c r="R476" s="2" t="inlineStr"/>
    </row>
    <row r="477" ht="15" customHeight="1">
      <c r="A477" t="inlineStr">
        <is>
          <t>A 41094-2023</t>
        </is>
      </c>
      <c r="B477" s="1" t="n">
        <v>45173</v>
      </c>
      <c r="C477" s="1" t="n">
        <v>46046</v>
      </c>
      <c r="D477" t="inlineStr">
        <is>
          <t>JÄMTLANDS LÄN</t>
        </is>
      </c>
      <c r="E477" t="inlineStr">
        <is>
          <t>HÄRJEDALEN</t>
        </is>
      </c>
      <c r="F477" t="inlineStr">
        <is>
          <t>Sveaskog</t>
        </is>
      </c>
      <c r="G477" t="n">
        <v>0.2</v>
      </c>
      <c r="H477" t="n">
        <v>0</v>
      </c>
      <c r="I477" t="n">
        <v>0</v>
      </c>
      <c r="J477" t="n">
        <v>0</v>
      </c>
      <c r="K477" t="n">
        <v>0</v>
      </c>
      <c r="L477" t="n">
        <v>0</v>
      </c>
      <c r="M477" t="n">
        <v>0</v>
      </c>
      <c r="N477" t="n">
        <v>0</v>
      </c>
      <c r="O477" t="n">
        <v>0</v>
      </c>
      <c r="P477" t="n">
        <v>0</v>
      </c>
      <c r="Q477" t="n">
        <v>0</v>
      </c>
      <c r="R477" s="2" t="inlineStr"/>
    </row>
    <row r="478" ht="15" customHeight="1">
      <c r="A478" t="inlineStr">
        <is>
          <t>A 24226-2025</t>
        </is>
      </c>
      <c r="B478" s="1" t="n">
        <v>45797.37096064815</v>
      </c>
      <c r="C478" s="1" t="n">
        <v>46046</v>
      </c>
      <c r="D478" t="inlineStr">
        <is>
          <t>JÄMTLANDS LÄN</t>
        </is>
      </c>
      <c r="E478" t="inlineStr">
        <is>
          <t>HÄRJEDALEN</t>
        </is>
      </c>
      <c r="G478" t="n">
        <v>28.7</v>
      </c>
      <c r="H478" t="n">
        <v>0</v>
      </c>
      <c r="I478" t="n">
        <v>0</v>
      </c>
      <c r="J478" t="n">
        <v>0</v>
      </c>
      <c r="K478" t="n">
        <v>0</v>
      </c>
      <c r="L478" t="n">
        <v>0</v>
      </c>
      <c r="M478" t="n">
        <v>0</v>
      </c>
      <c r="N478" t="n">
        <v>0</v>
      </c>
      <c r="O478" t="n">
        <v>0</v>
      </c>
      <c r="P478" t="n">
        <v>0</v>
      </c>
      <c r="Q478" t="n">
        <v>0</v>
      </c>
      <c r="R478" s="2" t="inlineStr"/>
    </row>
    <row r="479" ht="15" customHeight="1">
      <c r="A479" t="inlineStr">
        <is>
          <t>A 12781-2025</t>
        </is>
      </c>
      <c r="B479" s="1" t="n">
        <v>45733.59667824074</v>
      </c>
      <c r="C479" s="1" t="n">
        <v>46046</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48867-2023</t>
        </is>
      </c>
      <c r="B480" s="1" t="n">
        <v>45209.45420138889</v>
      </c>
      <c r="C480" s="1" t="n">
        <v>46046</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20238-2025</t>
        </is>
      </c>
      <c r="B481" s="1" t="n">
        <v>45772.69290509259</v>
      </c>
      <c r="C481" s="1" t="n">
        <v>46046</v>
      </c>
      <c r="D481" t="inlineStr">
        <is>
          <t>JÄMTLANDS LÄN</t>
        </is>
      </c>
      <c r="E481" t="inlineStr">
        <is>
          <t>HÄRJEDALEN</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45864-2023</t>
        </is>
      </c>
      <c r="B482" s="1" t="n">
        <v>45195.61476851852</v>
      </c>
      <c r="C482" s="1" t="n">
        <v>46046</v>
      </c>
      <c r="D482" t="inlineStr">
        <is>
          <t>JÄMTLANDS LÄN</t>
        </is>
      </c>
      <c r="E482" t="inlineStr">
        <is>
          <t>HÄRJEDALEN</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18541-2025</t>
        </is>
      </c>
      <c r="B483" s="1" t="n">
        <v>45763.41402777778</v>
      </c>
      <c r="C483" s="1" t="n">
        <v>46046</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45731-2024</t>
        </is>
      </c>
      <c r="B484" s="1" t="n">
        <v>45579.59980324074</v>
      </c>
      <c r="C484" s="1" t="n">
        <v>46046</v>
      </c>
      <c r="D484" t="inlineStr">
        <is>
          <t>JÄMTLANDS LÄN</t>
        </is>
      </c>
      <c r="E484" t="inlineStr">
        <is>
          <t>HÄRJEDALEN</t>
        </is>
      </c>
      <c r="G484" t="n">
        <v>3.4</v>
      </c>
      <c r="H484" t="n">
        <v>0</v>
      </c>
      <c r="I484" t="n">
        <v>0</v>
      </c>
      <c r="J484" t="n">
        <v>0</v>
      </c>
      <c r="K484" t="n">
        <v>0</v>
      </c>
      <c r="L484" t="n">
        <v>0</v>
      </c>
      <c r="M484" t="n">
        <v>0</v>
      </c>
      <c r="N484" t="n">
        <v>0</v>
      </c>
      <c r="O484" t="n">
        <v>0</v>
      </c>
      <c r="P484" t="n">
        <v>0</v>
      </c>
      <c r="Q484" t="n">
        <v>0</v>
      </c>
      <c r="R484" s="2" t="inlineStr"/>
    </row>
    <row r="485" ht="15" customHeight="1">
      <c r="A485" t="inlineStr">
        <is>
          <t>A 23474-2024</t>
        </is>
      </c>
      <c r="B485" s="1" t="n">
        <v>45453.6672800926</v>
      </c>
      <c r="C485" s="1" t="n">
        <v>46046</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25024-2025</t>
        </is>
      </c>
      <c r="B486" s="1" t="n">
        <v>45799.64804398148</v>
      </c>
      <c r="C486" s="1" t="n">
        <v>46046</v>
      </c>
      <c r="D486" t="inlineStr">
        <is>
          <t>JÄMTLANDS LÄN</t>
        </is>
      </c>
      <c r="E486" t="inlineStr">
        <is>
          <t>HÄRJEDALEN</t>
        </is>
      </c>
      <c r="F486" t="inlineStr">
        <is>
          <t>Bergvik skog väst AB</t>
        </is>
      </c>
      <c r="G486" t="n">
        <v>31.2</v>
      </c>
      <c r="H486" t="n">
        <v>0</v>
      </c>
      <c r="I486" t="n">
        <v>0</v>
      </c>
      <c r="J486" t="n">
        <v>0</v>
      </c>
      <c r="K486" t="n">
        <v>0</v>
      </c>
      <c r="L486" t="n">
        <v>0</v>
      </c>
      <c r="M486" t="n">
        <v>0</v>
      </c>
      <c r="N486" t="n">
        <v>0</v>
      </c>
      <c r="O486" t="n">
        <v>0</v>
      </c>
      <c r="P486" t="n">
        <v>0</v>
      </c>
      <c r="Q486" t="n">
        <v>0</v>
      </c>
      <c r="R486" s="2" t="inlineStr"/>
    </row>
    <row r="487" ht="15" customHeight="1">
      <c r="A487" t="inlineStr">
        <is>
          <t>A 19677-2024</t>
        </is>
      </c>
      <c r="B487" s="1" t="n">
        <v>45432</v>
      </c>
      <c r="C487" s="1" t="n">
        <v>46046</v>
      </c>
      <c r="D487" t="inlineStr">
        <is>
          <t>JÄMTLANDS LÄN</t>
        </is>
      </c>
      <c r="E487" t="inlineStr">
        <is>
          <t>HÄRJEDALEN</t>
        </is>
      </c>
      <c r="F487" t="inlineStr">
        <is>
          <t>Bergvik skog väst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2510-2025</t>
        </is>
      </c>
      <c r="B488" s="1" t="n">
        <v>45674.57393518519</v>
      </c>
      <c r="C488" s="1" t="n">
        <v>46046</v>
      </c>
      <c r="D488" t="inlineStr">
        <is>
          <t>JÄMTLANDS LÄN</t>
        </is>
      </c>
      <c r="E488" t="inlineStr">
        <is>
          <t>HÄRJEDALEN</t>
        </is>
      </c>
      <c r="G488" t="n">
        <v>0.8</v>
      </c>
      <c r="H488" t="n">
        <v>0</v>
      </c>
      <c r="I488" t="n">
        <v>0</v>
      </c>
      <c r="J488" t="n">
        <v>0</v>
      </c>
      <c r="K488" t="n">
        <v>0</v>
      </c>
      <c r="L488" t="n">
        <v>0</v>
      </c>
      <c r="M488" t="n">
        <v>0</v>
      </c>
      <c r="N488" t="n">
        <v>0</v>
      </c>
      <c r="O488" t="n">
        <v>0</v>
      </c>
      <c r="P488" t="n">
        <v>0</v>
      </c>
      <c r="Q488" t="n">
        <v>0</v>
      </c>
      <c r="R488" s="2" t="inlineStr"/>
    </row>
    <row r="489" ht="15" customHeight="1">
      <c r="A489" t="inlineStr">
        <is>
          <t>A 53386-2024</t>
        </is>
      </c>
      <c r="B489" s="1" t="n">
        <v>45614.47960648148</v>
      </c>
      <c r="C489" s="1" t="n">
        <v>46046</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36921-2023</t>
        </is>
      </c>
      <c r="B490" s="1" t="n">
        <v>45154</v>
      </c>
      <c r="C490" s="1" t="n">
        <v>46046</v>
      </c>
      <c r="D490" t="inlineStr">
        <is>
          <t>JÄMTLANDS LÄN</t>
        </is>
      </c>
      <c r="E490" t="inlineStr">
        <is>
          <t>HÄRJEDALEN</t>
        </is>
      </c>
      <c r="G490" t="n">
        <v>1.7</v>
      </c>
      <c r="H490" t="n">
        <v>0</v>
      </c>
      <c r="I490" t="n">
        <v>0</v>
      </c>
      <c r="J490" t="n">
        <v>0</v>
      </c>
      <c r="K490" t="n">
        <v>0</v>
      </c>
      <c r="L490" t="n">
        <v>0</v>
      </c>
      <c r="M490" t="n">
        <v>0</v>
      </c>
      <c r="N490" t="n">
        <v>0</v>
      </c>
      <c r="O490" t="n">
        <v>0</v>
      </c>
      <c r="P490" t="n">
        <v>0</v>
      </c>
      <c r="Q490" t="n">
        <v>0</v>
      </c>
      <c r="R490" s="2" t="inlineStr"/>
    </row>
    <row r="491" ht="15" customHeight="1">
      <c r="A491" t="inlineStr">
        <is>
          <t>A 24842-2025</t>
        </is>
      </c>
      <c r="B491" s="1" t="n">
        <v>45799.4658912037</v>
      </c>
      <c r="C491" s="1" t="n">
        <v>46046</v>
      </c>
      <c r="D491" t="inlineStr">
        <is>
          <t>JÄMTLANDS LÄN</t>
        </is>
      </c>
      <c r="E491" t="inlineStr">
        <is>
          <t>HÄRJEDALEN</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24844-2025</t>
        </is>
      </c>
      <c r="B492" s="1" t="n">
        <v>45799.46642361111</v>
      </c>
      <c r="C492" s="1" t="n">
        <v>46046</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27261-2023</t>
        </is>
      </c>
      <c r="B493" s="1" t="n">
        <v>45096.62344907408</v>
      </c>
      <c r="C493" s="1" t="n">
        <v>46046</v>
      </c>
      <c r="D493" t="inlineStr">
        <is>
          <t>JÄMTLANDS LÄN</t>
        </is>
      </c>
      <c r="E493" t="inlineStr">
        <is>
          <t>HÄRJEDALEN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24796-2025</t>
        </is>
      </c>
      <c r="B494" s="1" t="n">
        <v>45799.43550925926</v>
      </c>
      <c r="C494" s="1" t="n">
        <v>46046</v>
      </c>
      <c r="D494" t="inlineStr">
        <is>
          <t>JÄMTLANDS LÄN</t>
        </is>
      </c>
      <c r="E494" t="inlineStr">
        <is>
          <t>HÄRJEDALEN</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24853-2025</t>
        </is>
      </c>
      <c r="B495" s="1" t="n">
        <v>45799.47225694444</v>
      </c>
      <c r="C495" s="1" t="n">
        <v>46046</v>
      </c>
      <c r="D495" t="inlineStr">
        <is>
          <t>JÄMTLANDS LÄN</t>
        </is>
      </c>
      <c r="E495" t="inlineStr">
        <is>
          <t>HÄRJEDALEN</t>
        </is>
      </c>
      <c r="F495" t="inlineStr">
        <is>
          <t>Holmen skog AB</t>
        </is>
      </c>
      <c r="G495" t="n">
        <v>57.7</v>
      </c>
      <c r="H495" t="n">
        <v>0</v>
      </c>
      <c r="I495" t="n">
        <v>0</v>
      </c>
      <c r="J495" t="n">
        <v>0</v>
      </c>
      <c r="K495" t="n">
        <v>0</v>
      </c>
      <c r="L495" t="n">
        <v>0</v>
      </c>
      <c r="M495" t="n">
        <v>0</v>
      </c>
      <c r="N495" t="n">
        <v>0</v>
      </c>
      <c r="O495" t="n">
        <v>0</v>
      </c>
      <c r="P495" t="n">
        <v>0</v>
      </c>
      <c r="Q495" t="n">
        <v>0</v>
      </c>
      <c r="R495" s="2" t="inlineStr"/>
    </row>
    <row r="496" ht="15" customHeight="1">
      <c r="A496" t="inlineStr">
        <is>
          <t>A 4862-2025</t>
        </is>
      </c>
      <c r="B496" s="1" t="n">
        <v>45688.6749537037</v>
      </c>
      <c r="C496" s="1" t="n">
        <v>46046</v>
      </c>
      <c r="D496" t="inlineStr">
        <is>
          <t>JÄMTLANDS LÄN</t>
        </is>
      </c>
      <c r="E496" t="inlineStr">
        <is>
          <t>HÄRJEDALEN</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35635-2024</t>
        </is>
      </c>
      <c r="B497" s="1" t="n">
        <v>45531.78386574074</v>
      </c>
      <c r="C497" s="1" t="n">
        <v>46046</v>
      </c>
      <c r="D497" t="inlineStr">
        <is>
          <t>JÄMTLANDS LÄN</t>
        </is>
      </c>
      <c r="E497" t="inlineStr">
        <is>
          <t>HÄRJEDALEN</t>
        </is>
      </c>
      <c r="G497" t="n">
        <v>0.5</v>
      </c>
      <c r="H497" t="n">
        <v>0</v>
      </c>
      <c r="I497" t="n">
        <v>0</v>
      </c>
      <c r="J497" t="n">
        <v>0</v>
      </c>
      <c r="K497" t="n">
        <v>0</v>
      </c>
      <c r="L497" t="n">
        <v>0</v>
      </c>
      <c r="M497" t="n">
        <v>0</v>
      </c>
      <c r="N497" t="n">
        <v>0</v>
      </c>
      <c r="O497" t="n">
        <v>0</v>
      </c>
      <c r="P497" t="n">
        <v>0</v>
      </c>
      <c r="Q497" t="n">
        <v>0</v>
      </c>
      <c r="R497" s="2" t="inlineStr"/>
    </row>
    <row r="498" ht="15" customHeight="1">
      <c r="A498" t="inlineStr">
        <is>
          <t>A 12468-2022</t>
        </is>
      </c>
      <c r="B498" s="1" t="n">
        <v>44638.44958333333</v>
      </c>
      <c r="C498" s="1" t="n">
        <v>46046</v>
      </c>
      <c r="D498" t="inlineStr">
        <is>
          <t>JÄMTLANDS LÄN</t>
        </is>
      </c>
      <c r="E498" t="inlineStr">
        <is>
          <t>HÄRJEDALEN</t>
        </is>
      </c>
      <c r="G498" t="n">
        <v>2.5</v>
      </c>
      <c r="H498" t="n">
        <v>0</v>
      </c>
      <c r="I498" t="n">
        <v>0</v>
      </c>
      <c r="J498" t="n">
        <v>0</v>
      </c>
      <c r="K498" t="n">
        <v>0</v>
      </c>
      <c r="L498" t="n">
        <v>0</v>
      </c>
      <c r="M498" t="n">
        <v>0</v>
      </c>
      <c r="N498" t="n">
        <v>0</v>
      </c>
      <c r="O498" t="n">
        <v>0</v>
      </c>
      <c r="P498" t="n">
        <v>0</v>
      </c>
      <c r="Q498" t="n">
        <v>0</v>
      </c>
      <c r="R498" s="2" t="inlineStr"/>
    </row>
    <row r="499" ht="15" customHeight="1">
      <c r="A499" t="inlineStr">
        <is>
          <t>A 47738-2022</t>
        </is>
      </c>
      <c r="B499" s="1" t="n">
        <v>44854</v>
      </c>
      <c r="C499" s="1" t="n">
        <v>46046</v>
      </c>
      <c r="D499" t="inlineStr">
        <is>
          <t>JÄMTLANDS LÄN</t>
        </is>
      </c>
      <c r="E499" t="inlineStr">
        <is>
          <t>HÄRJEDALEN</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50331-2023</t>
        </is>
      </c>
      <c r="B500" s="1" t="n">
        <v>45216</v>
      </c>
      <c r="C500" s="1" t="n">
        <v>46046</v>
      </c>
      <c r="D500" t="inlineStr">
        <is>
          <t>JÄMTLANDS LÄN</t>
        </is>
      </c>
      <c r="E500" t="inlineStr">
        <is>
          <t>HÄRJEDALEN</t>
        </is>
      </c>
      <c r="G500" t="n">
        <v>2.3</v>
      </c>
      <c r="H500" t="n">
        <v>0</v>
      </c>
      <c r="I500" t="n">
        <v>0</v>
      </c>
      <c r="J500" t="n">
        <v>0</v>
      </c>
      <c r="K500" t="n">
        <v>0</v>
      </c>
      <c r="L500" t="n">
        <v>0</v>
      </c>
      <c r="M500" t="n">
        <v>0</v>
      </c>
      <c r="N500" t="n">
        <v>0</v>
      </c>
      <c r="O500" t="n">
        <v>0</v>
      </c>
      <c r="P500" t="n">
        <v>0</v>
      </c>
      <c r="Q500" t="n">
        <v>0</v>
      </c>
      <c r="R500" s="2" t="inlineStr"/>
    </row>
    <row r="501" ht="15" customHeight="1">
      <c r="A501" t="inlineStr">
        <is>
          <t>A 24828-2025</t>
        </is>
      </c>
      <c r="B501" s="1" t="n">
        <v>45799.45770833334</v>
      </c>
      <c r="C501" s="1" t="n">
        <v>46046</v>
      </c>
      <c r="D501" t="inlineStr">
        <is>
          <t>JÄMTLANDS LÄN</t>
        </is>
      </c>
      <c r="E501" t="inlineStr">
        <is>
          <t>HÄRJEDALEN</t>
        </is>
      </c>
      <c r="F501" t="inlineStr">
        <is>
          <t>Holmen skog AB</t>
        </is>
      </c>
      <c r="G501" t="n">
        <v>6.2</v>
      </c>
      <c r="H501" t="n">
        <v>0</v>
      </c>
      <c r="I501" t="n">
        <v>0</v>
      </c>
      <c r="J501" t="n">
        <v>0</v>
      </c>
      <c r="K501" t="n">
        <v>0</v>
      </c>
      <c r="L501" t="n">
        <v>0</v>
      </c>
      <c r="M501" t="n">
        <v>0</v>
      </c>
      <c r="N501" t="n">
        <v>0</v>
      </c>
      <c r="O501" t="n">
        <v>0</v>
      </c>
      <c r="P501" t="n">
        <v>0</v>
      </c>
      <c r="Q501" t="n">
        <v>0</v>
      </c>
      <c r="R501" s="2" t="inlineStr"/>
    </row>
    <row r="502" ht="15" customHeight="1">
      <c r="A502" t="inlineStr">
        <is>
          <t>A 29624-2024</t>
        </is>
      </c>
      <c r="B502" s="1" t="n">
        <v>45484.65768518519</v>
      </c>
      <c r="C502" s="1" t="n">
        <v>46046</v>
      </c>
      <c r="D502" t="inlineStr">
        <is>
          <t>JÄMTLANDS LÄN</t>
        </is>
      </c>
      <c r="E502" t="inlineStr">
        <is>
          <t>HÄRJEDALEN</t>
        </is>
      </c>
      <c r="F502" t="inlineStr">
        <is>
          <t>Holmen skog AB</t>
        </is>
      </c>
      <c r="G502" t="n">
        <v>7.7</v>
      </c>
      <c r="H502" t="n">
        <v>0</v>
      </c>
      <c r="I502" t="n">
        <v>0</v>
      </c>
      <c r="J502" t="n">
        <v>0</v>
      </c>
      <c r="K502" t="n">
        <v>0</v>
      </c>
      <c r="L502" t="n">
        <v>0</v>
      </c>
      <c r="M502" t="n">
        <v>0</v>
      </c>
      <c r="N502" t="n">
        <v>0</v>
      </c>
      <c r="O502" t="n">
        <v>0</v>
      </c>
      <c r="P502" t="n">
        <v>0</v>
      </c>
      <c r="Q502" t="n">
        <v>0</v>
      </c>
      <c r="R502" s="2" t="inlineStr"/>
    </row>
    <row r="503" ht="15" customHeight="1">
      <c r="A503" t="inlineStr">
        <is>
          <t>A 24963-2025</t>
        </is>
      </c>
      <c r="B503" s="1" t="n">
        <v>45799.57883101852</v>
      </c>
      <c r="C503" s="1" t="n">
        <v>46046</v>
      </c>
      <c r="D503" t="inlineStr">
        <is>
          <t>JÄMTLANDS LÄN</t>
        </is>
      </c>
      <c r="E503" t="inlineStr">
        <is>
          <t>HÄRJEDALEN</t>
        </is>
      </c>
      <c r="G503" t="n">
        <v>3.5</v>
      </c>
      <c r="H503" t="n">
        <v>0</v>
      </c>
      <c r="I503" t="n">
        <v>0</v>
      </c>
      <c r="J503" t="n">
        <v>0</v>
      </c>
      <c r="K503" t="n">
        <v>0</v>
      </c>
      <c r="L503" t="n">
        <v>0</v>
      </c>
      <c r="M503" t="n">
        <v>0</v>
      </c>
      <c r="N503" t="n">
        <v>0</v>
      </c>
      <c r="O503" t="n">
        <v>0</v>
      </c>
      <c r="P503" t="n">
        <v>0</v>
      </c>
      <c r="Q503" t="n">
        <v>0</v>
      </c>
      <c r="R503" s="2" t="inlineStr"/>
    </row>
    <row r="504" ht="15" customHeight="1">
      <c r="A504" t="inlineStr">
        <is>
          <t>A 51994-2024</t>
        </is>
      </c>
      <c r="B504" s="1" t="n">
        <v>45607</v>
      </c>
      <c r="C504" s="1" t="n">
        <v>46046</v>
      </c>
      <c r="D504" t="inlineStr">
        <is>
          <t>JÄMTLANDS LÄN</t>
        </is>
      </c>
      <c r="E504" t="inlineStr">
        <is>
          <t>HÄRJEDALEN</t>
        </is>
      </c>
      <c r="G504" t="n">
        <v>0.7</v>
      </c>
      <c r="H504" t="n">
        <v>0</v>
      </c>
      <c r="I504" t="n">
        <v>0</v>
      </c>
      <c r="J504" t="n">
        <v>0</v>
      </c>
      <c r="K504" t="n">
        <v>0</v>
      </c>
      <c r="L504" t="n">
        <v>0</v>
      </c>
      <c r="M504" t="n">
        <v>0</v>
      </c>
      <c r="N504" t="n">
        <v>0</v>
      </c>
      <c r="O504" t="n">
        <v>0</v>
      </c>
      <c r="P504" t="n">
        <v>0</v>
      </c>
      <c r="Q504" t="n">
        <v>0</v>
      </c>
      <c r="R504" s="2" t="inlineStr"/>
    </row>
    <row r="505" ht="15" customHeight="1">
      <c r="A505" t="inlineStr">
        <is>
          <t>A 30742-2024</t>
        </is>
      </c>
      <c r="B505" s="1" t="n">
        <v>45496.66903935185</v>
      </c>
      <c r="C505" s="1" t="n">
        <v>46046</v>
      </c>
      <c r="D505" t="inlineStr">
        <is>
          <t>JÄMTLANDS LÄN</t>
        </is>
      </c>
      <c r="E505" t="inlineStr">
        <is>
          <t>HÄRJEDALEN</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24791-2025</t>
        </is>
      </c>
      <c r="B506" s="1" t="n">
        <v>45799.43086805556</v>
      </c>
      <c r="C506" s="1" t="n">
        <v>46046</v>
      </c>
      <c r="D506" t="inlineStr">
        <is>
          <t>JÄMTLANDS LÄN</t>
        </is>
      </c>
      <c r="E506" t="inlineStr">
        <is>
          <t>HÄRJEDALEN</t>
        </is>
      </c>
      <c r="F506" t="inlineStr">
        <is>
          <t>Holmen skog AB</t>
        </is>
      </c>
      <c r="G506" t="n">
        <v>5.1</v>
      </c>
      <c r="H506" t="n">
        <v>0</v>
      </c>
      <c r="I506" t="n">
        <v>0</v>
      </c>
      <c r="J506" t="n">
        <v>0</v>
      </c>
      <c r="K506" t="n">
        <v>0</v>
      </c>
      <c r="L506" t="n">
        <v>0</v>
      </c>
      <c r="M506" t="n">
        <v>0</v>
      </c>
      <c r="N506" t="n">
        <v>0</v>
      </c>
      <c r="O506" t="n">
        <v>0</v>
      </c>
      <c r="P506" t="n">
        <v>0</v>
      </c>
      <c r="Q506" t="n">
        <v>0</v>
      </c>
      <c r="R506" s="2" t="inlineStr"/>
    </row>
    <row r="507" ht="15" customHeight="1">
      <c r="A507" t="inlineStr">
        <is>
          <t>A 31747-2024</t>
        </is>
      </c>
      <c r="B507" s="1" t="n">
        <v>45509</v>
      </c>
      <c r="C507" s="1" t="n">
        <v>46046</v>
      </c>
      <c r="D507" t="inlineStr">
        <is>
          <t>JÄMTLANDS LÄN</t>
        </is>
      </c>
      <c r="E507" t="inlineStr">
        <is>
          <t>HÄRJEDALEN</t>
        </is>
      </c>
      <c r="F507" t="inlineStr">
        <is>
          <t>Övriga statliga verk och myndigheter</t>
        </is>
      </c>
      <c r="G507" t="n">
        <v>0.8</v>
      </c>
      <c r="H507" t="n">
        <v>0</v>
      </c>
      <c r="I507" t="n">
        <v>0</v>
      </c>
      <c r="J507" t="n">
        <v>0</v>
      </c>
      <c r="K507" t="n">
        <v>0</v>
      </c>
      <c r="L507" t="n">
        <v>0</v>
      </c>
      <c r="M507" t="n">
        <v>0</v>
      </c>
      <c r="N507" t="n">
        <v>0</v>
      </c>
      <c r="O507" t="n">
        <v>0</v>
      </c>
      <c r="P507" t="n">
        <v>0</v>
      </c>
      <c r="Q507" t="n">
        <v>0</v>
      </c>
      <c r="R507" s="2" t="inlineStr"/>
    </row>
    <row r="508" ht="15" customHeight="1">
      <c r="A508" t="inlineStr">
        <is>
          <t>A 31759-2024</t>
        </is>
      </c>
      <c r="B508" s="1" t="n">
        <v>45509</v>
      </c>
      <c r="C508" s="1" t="n">
        <v>46046</v>
      </c>
      <c r="D508" t="inlineStr">
        <is>
          <t>JÄMTLANDS LÄN</t>
        </is>
      </c>
      <c r="E508" t="inlineStr">
        <is>
          <t>HÄRJEDALEN</t>
        </is>
      </c>
      <c r="F508" t="inlineStr">
        <is>
          <t>Övriga statliga verk och myndigheter</t>
        </is>
      </c>
      <c r="G508" t="n">
        <v>1.2</v>
      </c>
      <c r="H508" t="n">
        <v>0</v>
      </c>
      <c r="I508" t="n">
        <v>0</v>
      </c>
      <c r="J508" t="n">
        <v>0</v>
      </c>
      <c r="K508" t="n">
        <v>0</v>
      </c>
      <c r="L508" t="n">
        <v>0</v>
      </c>
      <c r="M508" t="n">
        <v>0</v>
      </c>
      <c r="N508" t="n">
        <v>0</v>
      </c>
      <c r="O508" t="n">
        <v>0</v>
      </c>
      <c r="P508" t="n">
        <v>0</v>
      </c>
      <c r="Q508" t="n">
        <v>0</v>
      </c>
      <c r="R508" s="2" t="inlineStr"/>
    </row>
    <row r="509" ht="15" customHeight="1">
      <c r="A509" t="inlineStr">
        <is>
          <t>A 61465-2023</t>
        </is>
      </c>
      <c r="B509" s="1" t="n">
        <v>45264.92637731481</v>
      </c>
      <c r="C509" s="1" t="n">
        <v>46046</v>
      </c>
      <c r="D509" t="inlineStr">
        <is>
          <t>JÄMTLANDS LÄN</t>
        </is>
      </c>
      <c r="E509" t="inlineStr">
        <is>
          <t>HÄRJEDALEN</t>
        </is>
      </c>
      <c r="G509" t="n">
        <v>5.9</v>
      </c>
      <c r="H509" t="n">
        <v>0</v>
      </c>
      <c r="I509" t="n">
        <v>0</v>
      </c>
      <c r="J509" t="n">
        <v>0</v>
      </c>
      <c r="K509" t="n">
        <v>0</v>
      </c>
      <c r="L509" t="n">
        <v>0</v>
      </c>
      <c r="M509" t="n">
        <v>0</v>
      </c>
      <c r="N509" t="n">
        <v>0</v>
      </c>
      <c r="O509" t="n">
        <v>0</v>
      </c>
      <c r="P509" t="n">
        <v>0</v>
      </c>
      <c r="Q509" t="n">
        <v>0</v>
      </c>
      <c r="R509" s="2" t="inlineStr"/>
    </row>
    <row r="510" ht="15" customHeight="1">
      <c r="A510" t="inlineStr">
        <is>
          <t>A 38507-2024</t>
        </is>
      </c>
      <c r="B510" s="1" t="n">
        <v>45546.54530092593</v>
      </c>
      <c r="C510" s="1" t="n">
        <v>46046</v>
      </c>
      <c r="D510" t="inlineStr">
        <is>
          <t>JÄMTLANDS LÄN</t>
        </is>
      </c>
      <c r="E510" t="inlineStr">
        <is>
          <t>HÄRJEDALEN</t>
        </is>
      </c>
      <c r="G510" t="n">
        <v>6.4</v>
      </c>
      <c r="H510" t="n">
        <v>0</v>
      </c>
      <c r="I510" t="n">
        <v>0</v>
      </c>
      <c r="J510" t="n">
        <v>0</v>
      </c>
      <c r="K510" t="n">
        <v>0</v>
      </c>
      <c r="L510" t="n">
        <v>0</v>
      </c>
      <c r="M510" t="n">
        <v>0</v>
      </c>
      <c r="N510" t="n">
        <v>0</v>
      </c>
      <c r="O510" t="n">
        <v>0</v>
      </c>
      <c r="P510" t="n">
        <v>0</v>
      </c>
      <c r="Q510" t="n">
        <v>0</v>
      </c>
      <c r="R510" s="2" t="inlineStr"/>
    </row>
    <row r="511" ht="15" customHeight="1">
      <c r="A511" t="inlineStr">
        <is>
          <t>A 25383-2025</t>
        </is>
      </c>
      <c r="B511" s="1" t="n">
        <v>45800.64065972222</v>
      </c>
      <c r="C511" s="1" t="n">
        <v>46046</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55029-2021</t>
        </is>
      </c>
      <c r="B512" s="1" t="n">
        <v>44474.59423611111</v>
      </c>
      <c r="C512" s="1" t="n">
        <v>46046</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25516-2025</t>
        </is>
      </c>
      <c r="B513" s="1" t="n">
        <v>45803.37480324074</v>
      </c>
      <c r="C513" s="1" t="n">
        <v>46046</v>
      </c>
      <c r="D513" t="inlineStr">
        <is>
          <t>JÄMTLANDS LÄN</t>
        </is>
      </c>
      <c r="E513" t="inlineStr">
        <is>
          <t>HÄRJEDALEN</t>
        </is>
      </c>
      <c r="G513" t="n">
        <v>5</v>
      </c>
      <c r="H513" t="n">
        <v>0</v>
      </c>
      <c r="I513" t="n">
        <v>0</v>
      </c>
      <c r="J513" t="n">
        <v>0</v>
      </c>
      <c r="K513" t="n">
        <v>0</v>
      </c>
      <c r="L513" t="n">
        <v>0</v>
      </c>
      <c r="M513" t="n">
        <v>0</v>
      </c>
      <c r="N513" t="n">
        <v>0</v>
      </c>
      <c r="O513" t="n">
        <v>0</v>
      </c>
      <c r="P513" t="n">
        <v>0</v>
      </c>
      <c r="Q513" t="n">
        <v>0</v>
      </c>
      <c r="R513" s="2" t="inlineStr"/>
    </row>
    <row r="514" ht="15" customHeight="1">
      <c r="A514" t="inlineStr">
        <is>
          <t>A 55193-2023</t>
        </is>
      </c>
      <c r="B514" s="1" t="n">
        <v>45237.5815162037</v>
      </c>
      <c r="C514" s="1" t="n">
        <v>46046</v>
      </c>
      <c r="D514" t="inlineStr">
        <is>
          <t>JÄMTLANDS LÄN</t>
        </is>
      </c>
      <c r="E514" t="inlineStr">
        <is>
          <t>HÄRJEDALEN</t>
        </is>
      </c>
      <c r="G514" t="n">
        <v>2.1</v>
      </c>
      <c r="H514" t="n">
        <v>0</v>
      </c>
      <c r="I514" t="n">
        <v>0</v>
      </c>
      <c r="J514" t="n">
        <v>0</v>
      </c>
      <c r="K514" t="n">
        <v>0</v>
      </c>
      <c r="L514" t="n">
        <v>0</v>
      </c>
      <c r="M514" t="n">
        <v>0</v>
      </c>
      <c r="N514" t="n">
        <v>0</v>
      </c>
      <c r="O514" t="n">
        <v>0</v>
      </c>
      <c r="P514" t="n">
        <v>0</v>
      </c>
      <c r="Q514" t="n">
        <v>0</v>
      </c>
      <c r="R514" s="2" t="inlineStr"/>
    </row>
    <row r="515" ht="15" customHeight="1">
      <c r="A515" t="inlineStr">
        <is>
          <t>A 16185-2024</t>
        </is>
      </c>
      <c r="B515" s="1" t="n">
        <v>45406</v>
      </c>
      <c r="C515" s="1" t="n">
        <v>46046</v>
      </c>
      <c r="D515" t="inlineStr">
        <is>
          <t>JÄMTLANDS LÄN</t>
        </is>
      </c>
      <c r="E515" t="inlineStr">
        <is>
          <t>HÄRJEDALEN</t>
        </is>
      </c>
      <c r="F515" t="inlineStr">
        <is>
          <t>Holmen skog AB</t>
        </is>
      </c>
      <c r="G515" t="n">
        <v>21.6</v>
      </c>
      <c r="H515" t="n">
        <v>0</v>
      </c>
      <c r="I515" t="n">
        <v>0</v>
      </c>
      <c r="J515" t="n">
        <v>0</v>
      </c>
      <c r="K515" t="n">
        <v>0</v>
      </c>
      <c r="L515" t="n">
        <v>0</v>
      </c>
      <c r="M515" t="n">
        <v>0</v>
      </c>
      <c r="N515" t="n">
        <v>0</v>
      </c>
      <c r="O515" t="n">
        <v>0</v>
      </c>
      <c r="P515" t="n">
        <v>0</v>
      </c>
      <c r="Q515" t="n">
        <v>0</v>
      </c>
      <c r="R515" s="2" t="inlineStr"/>
    </row>
    <row r="516" ht="15" customHeight="1">
      <c r="A516" t="inlineStr">
        <is>
          <t>A 25380-2025</t>
        </is>
      </c>
      <c r="B516" s="1" t="n">
        <v>45800.63738425926</v>
      </c>
      <c r="C516" s="1" t="n">
        <v>46046</v>
      </c>
      <c r="D516" t="inlineStr">
        <is>
          <t>JÄMTLANDS LÄN</t>
        </is>
      </c>
      <c r="E516" t="inlineStr">
        <is>
          <t>HÄRJEDALEN</t>
        </is>
      </c>
      <c r="F516" t="inlineStr">
        <is>
          <t>Sveaskog</t>
        </is>
      </c>
      <c r="G516" t="n">
        <v>6.8</v>
      </c>
      <c r="H516" t="n">
        <v>0</v>
      </c>
      <c r="I516" t="n">
        <v>0</v>
      </c>
      <c r="J516" t="n">
        <v>0</v>
      </c>
      <c r="K516" t="n">
        <v>0</v>
      </c>
      <c r="L516" t="n">
        <v>0</v>
      </c>
      <c r="M516" t="n">
        <v>0</v>
      </c>
      <c r="N516" t="n">
        <v>0</v>
      </c>
      <c r="O516" t="n">
        <v>0</v>
      </c>
      <c r="P516" t="n">
        <v>0</v>
      </c>
      <c r="Q516" t="n">
        <v>0</v>
      </c>
      <c r="R516" s="2" t="inlineStr"/>
    </row>
    <row r="517" ht="15" customHeight="1">
      <c r="A517" t="inlineStr">
        <is>
          <t>A 25123-2025</t>
        </is>
      </c>
      <c r="B517" s="1" t="n">
        <v>45800.37524305555</v>
      </c>
      <c r="C517" s="1" t="n">
        <v>46046</v>
      </c>
      <c r="D517" t="inlineStr">
        <is>
          <t>JÄMTLANDS LÄN</t>
        </is>
      </c>
      <c r="E517" t="inlineStr">
        <is>
          <t>HÄRJEDALEN</t>
        </is>
      </c>
      <c r="F517" t="inlineStr">
        <is>
          <t>Holmen skog AB</t>
        </is>
      </c>
      <c r="G517" t="n">
        <v>4.4</v>
      </c>
      <c r="H517" t="n">
        <v>0</v>
      </c>
      <c r="I517" t="n">
        <v>0</v>
      </c>
      <c r="J517" t="n">
        <v>0</v>
      </c>
      <c r="K517" t="n">
        <v>0</v>
      </c>
      <c r="L517" t="n">
        <v>0</v>
      </c>
      <c r="M517" t="n">
        <v>0</v>
      </c>
      <c r="N517" t="n">
        <v>0</v>
      </c>
      <c r="O517" t="n">
        <v>0</v>
      </c>
      <c r="P517" t="n">
        <v>0</v>
      </c>
      <c r="Q517" t="n">
        <v>0</v>
      </c>
      <c r="R517" s="2" t="inlineStr"/>
    </row>
    <row r="518" ht="15" customHeight="1">
      <c r="A518" t="inlineStr">
        <is>
          <t>A 25325-2025</t>
        </is>
      </c>
      <c r="B518" s="1" t="n">
        <v>45800.58859953703</v>
      </c>
      <c r="C518" s="1" t="n">
        <v>46046</v>
      </c>
      <c r="D518" t="inlineStr">
        <is>
          <t>JÄMTLANDS LÄN</t>
        </is>
      </c>
      <c r="E518" t="inlineStr">
        <is>
          <t>HÄRJEDALEN</t>
        </is>
      </c>
      <c r="G518" t="n">
        <v>5.6</v>
      </c>
      <c r="H518" t="n">
        <v>0</v>
      </c>
      <c r="I518" t="n">
        <v>0</v>
      </c>
      <c r="J518" t="n">
        <v>0</v>
      </c>
      <c r="K518" t="n">
        <v>0</v>
      </c>
      <c r="L518" t="n">
        <v>0</v>
      </c>
      <c r="M518" t="n">
        <v>0</v>
      </c>
      <c r="N518" t="n">
        <v>0</v>
      </c>
      <c r="O518" t="n">
        <v>0</v>
      </c>
      <c r="P518" t="n">
        <v>0</v>
      </c>
      <c r="Q518" t="n">
        <v>0</v>
      </c>
      <c r="R518" s="2" t="inlineStr"/>
    </row>
    <row r="519" ht="15" customHeight="1">
      <c r="A519" t="inlineStr">
        <is>
          <t>A 25334-2025</t>
        </is>
      </c>
      <c r="B519" s="1" t="n">
        <v>45800.59567129629</v>
      </c>
      <c r="C519" s="1" t="n">
        <v>46046</v>
      </c>
      <c r="D519" t="inlineStr">
        <is>
          <t>JÄMTLANDS LÄN</t>
        </is>
      </c>
      <c r="E519" t="inlineStr">
        <is>
          <t>HÄRJEDALEN</t>
        </is>
      </c>
      <c r="F519" t="inlineStr">
        <is>
          <t>Holmen skog AB</t>
        </is>
      </c>
      <c r="G519" t="n">
        <v>3.6</v>
      </c>
      <c r="H519" t="n">
        <v>0</v>
      </c>
      <c r="I519" t="n">
        <v>0</v>
      </c>
      <c r="J519" t="n">
        <v>0</v>
      </c>
      <c r="K519" t="n">
        <v>0</v>
      </c>
      <c r="L519" t="n">
        <v>0</v>
      </c>
      <c r="M519" t="n">
        <v>0</v>
      </c>
      <c r="N519" t="n">
        <v>0</v>
      </c>
      <c r="O519" t="n">
        <v>0</v>
      </c>
      <c r="P519" t="n">
        <v>0</v>
      </c>
      <c r="Q519" t="n">
        <v>0</v>
      </c>
      <c r="R519" s="2" t="inlineStr"/>
    </row>
    <row r="520" ht="15" customHeight="1">
      <c r="A520" t="inlineStr">
        <is>
          <t>A 25392-2025</t>
        </is>
      </c>
      <c r="B520" s="1" t="n">
        <v>45800.64719907408</v>
      </c>
      <c r="C520" s="1" t="n">
        <v>46046</v>
      </c>
      <c r="D520" t="inlineStr">
        <is>
          <t>JÄMTLANDS LÄN</t>
        </is>
      </c>
      <c r="E520" t="inlineStr">
        <is>
          <t>HÄRJEDALEN</t>
        </is>
      </c>
      <c r="F520" t="inlineStr">
        <is>
          <t>Holmen skog AB</t>
        </is>
      </c>
      <c r="G520" t="n">
        <v>10.3</v>
      </c>
      <c r="H520" t="n">
        <v>0</v>
      </c>
      <c r="I520" t="n">
        <v>0</v>
      </c>
      <c r="J520" t="n">
        <v>0</v>
      </c>
      <c r="K520" t="n">
        <v>0</v>
      </c>
      <c r="L520" t="n">
        <v>0</v>
      </c>
      <c r="M520" t="n">
        <v>0</v>
      </c>
      <c r="N520" t="n">
        <v>0</v>
      </c>
      <c r="O520" t="n">
        <v>0</v>
      </c>
      <c r="P520" t="n">
        <v>0</v>
      </c>
      <c r="Q520" t="n">
        <v>0</v>
      </c>
      <c r="R520" s="2" t="inlineStr"/>
    </row>
    <row r="521" ht="15" customHeight="1">
      <c r="A521" t="inlineStr">
        <is>
          <t>A 25399-2025</t>
        </is>
      </c>
      <c r="B521" s="1" t="n">
        <v>45800.65341435185</v>
      </c>
      <c r="C521" s="1" t="n">
        <v>46046</v>
      </c>
      <c r="D521" t="inlineStr">
        <is>
          <t>JÄMTLANDS LÄN</t>
        </is>
      </c>
      <c r="E521" t="inlineStr">
        <is>
          <t>HÄRJEDALEN</t>
        </is>
      </c>
      <c r="F521" t="inlineStr">
        <is>
          <t>Holmen skog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18080-2024</t>
        </is>
      </c>
      <c r="B522" s="1" t="n">
        <v>45420.44414351852</v>
      </c>
      <c r="C522" s="1" t="n">
        <v>46046</v>
      </c>
      <c r="D522" t="inlineStr">
        <is>
          <t>JÄMTLANDS LÄN</t>
        </is>
      </c>
      <c r="E522" t="inlineStr">
        <is>
          <t>HÄRJEDALEN</t>
        </is>
      </c>
      <c r="F522" t="inlineStr">
        <is>
          <t>Holmen skog AB</t>
        </is>
      </c>
      <c r="G522" t="n">
        <v>12.6</v>
      </c>
      <c r="H522" t="n">
        <v>0</v>
      </c>
      <c r="I522" t="n">
        <v>0</v>
      </c>
      <c r="J522" t="n">
        <v>0</v>
      </c>
      <c r="K522" t="n">
        <v>0</v>
      </c>
      <c r="L522" t="n">
        <v>0</v>
      </c>
      <c r="M522" t="n">
        <v>0</v>
      </c>
      <c r="N522" t="n">
        <v>0</v>
      </c>
      <c r="O522" t="n">
        <v>0</v>
      </c>
      <c r="P522" t="n">
        <v>0</v>
      </c>
      <c r="Q522" t="n">
        <v>0</v>
      </c>
      <c r="R522" s="2" t="inlineStr"/>
    </row>
    <row r="523" ht="15" customHeight="1">
      <c r="A523" t="inlineStr">
        <is>
          <t>A 25158-2025</t>
        </is>
      </c>
      <c r="B523" s="1" t="n">
        <v>45800.42797453704</v>
      </c>
      <c r="C523" s="1" t="n">
        <v>46046</v>
      </c>
      <c r="D523" t="inlineStr">
        <is>
          <t>JÄMTLANDS LÄN</t>
        </is>
      </c>
      <c r="E523" t="inlineStr">
        <is>
          <t>HÄRJEDALEN</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25171-2025</t>
        </is>
      </c>
      <c r="B524" s="1" t="n">
        <v>45800.44090277778</v>
      </c>
      <c r="C524" s="1" t="n">
        <v>46046</v>
      </c>
      <c r="D524" t="inlineStr">
        <is>
          <t>JÄMTLANDS LÄN</t>
        </is>
      </c>
      <c r="E524" t="inlineStr">
        <is>
          <t>HÄRJEDALEN</t>
        </is>
      </c>
      <c r="G524" t="n">
        <v>12.3</v>
      </c>
      <c r="H524" t="n">
        <v>0</v>
      </c>
      <c r="I524" t="n">
        <v>0</v>
      </c>
      <c r="J524" t="n">
        <v>0</v>
      </c>
      <c r="K524" t="n">
        <v>0</v>
      </c>
      <c r="L524" t="n">
        <v>0</v>
      </c>
      <c r="M524" t="n">
        <v>0</v>
      </c>
      <c r="N524" t="n">
        <v>0</v>
      </c>
      <c r="O524" t="n">
        <v>0</v>
      </c>
      <c r="P524" t="n">
        <v>0</v>
      </c>
      <c r="Q524" t="n">
        <v>0</v>
      </c>
      <c r="R524" s="2" t="inlineStr"/>
    </row>
    <row r="525" ht="15" customHeight="1">
      <c r="A525" t="inlineStr">
        <is>
          <t>A 25409-2025</t>
        </is>
      </c>
      <c r="B525" s="1" t="n">
        <v>45800.66043981481</v>
      </c>
      <c r="C525" s="1" t="n">
        <v>46046</v>
      </c>
      <c r="D525" t="inlineStr">
        <is>
          <t>JÄMTLANDS LÄN</t>
        </is>
      </c>
      <c r="E525" t="inlineStr">
        <is>
          <t>HÄRJEDALEN</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25094-2025</t>
        </is>
      </c>
      <c r="B526" s="1" t="n">
        <v>45800.33436342593</v>
      </c>
      <c r="C526" s="1" t="n">
        <v>46046</v>
      </c>
      <c r="D526" t="inlineStr">
        <is>
          <t>JÄMTLANDS LÄN</t>
        </is>
      </c>
      <c r="E526" t="inlineStr">
        <is>
          <t>HÄRJEDALEN</t>
        </is>
      </c>
      <c r="F526" t="inlineStr">
        <is>
          <t>Holmen skog AB</t>
        </is>
      </c>
      <c r="G526" t="n">
        <v>6.4</v>
      </c>
      <c r="H526" t="n">
        <v>0</v>
      </c>
      <c r="I526" t="n">
        <v>0</v>
      </c>
      <c r="J526" t="n">
        <v>0</v>
      </c>
      <c r="K526" t="n">
        <v>0</v>
      </c>
      <c r="L526" t="n">
        <v>0</v>
      </c>
      <c r="M526" t="n">
        <v>0</v>
      </c>
      <c r="N526" t="n">
        <v>0</v>
      </c>
      <c r="O526" t="n">
        <v>0</v>
      </c>
      <c r="P526" t="n">
        <v>0</v>
      </c>
      <c r="Q526" t="n">
        <v>0</v>
      </c>
      <c r="R526" s="2" t="inlineStr"/>
    </row>
    <row r="527" ht="15" customHeight="1">
      <c r="A527" t="inlineStr">
        <is>
          <t>A 25098-2025</t>
        </is>
      </c>
      <c r="B527" s="1" t="n">
        <v>45800.3425</v>
      </c>
      <c r="C527" s="1" t="n">
        <v>46046</v>
      </c>
      <c r="D527" t="inlineStr">
        <is>
          <t>JÄMTLANDS LÄN</t>
        </is>
      </c>
      <c r="E527" t="inlineStr">
        <is>
          <t>HÄRJEDALEN</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25178-2025</t>
        </is>
      </c>
      <c r="B528" s="1" t="n">
        <v>45800.44868055556</v>
      </c>
      <c r="C528" s="1" t="n">
        <v>46046</v>
      </c>
      <c r="D528" t="inlineStr">
        <is>
          <t>JÄMTLANDS LÄN</t>
        </is>
      </c>
      <c r="E528" t="inlineStr">
        <is>
          <t>HÄRJEDALEN</t>
        </is>
      </c>
      <c r="F528" t="inlineStr">
        <is>
          <t>Holmen skog AB</t>
        </is>
      </c>
      <c r="G528" t="n">
        <v>5.1</v>
      </c>
      <c r="H528" t="n">
        <v>0</v>
      </c>
      <c r="I528" t="n">
        <v>0</v>
      </c>
      <c r="J528" t="n">
        <v>0</v>
      </c>
      <c r="K528" t="n">
        <v>0</v>
      </c>
      <c r="L528" t="n">
        <v>0</v>
      </c>
      <c r="M528" t="n">
        <v>0</v>
      </c>
      <c r="N528" t="n">
        <v>0</v>
      </c>
      <c r="O528" t="n">
        <v>0</v>
      </c>
      <c r="P528" t="n">
        <v>0</v>
      </c>
      <c r="Q528" t="n">
        <v>0</v>
      </c>
      <c r="R528" s="2" t="inlineStr"/>
    </row>
    <row r="529" ht="15" customHeight="1">
      <c r="A529" t="inlineStr">
        <is>
          <t>A 25204-2025</t>
        </is>
      </c>
      <c r="B529" s="1" t="n">
        <v>45800.4687962963</v>
      </c>
      <c r="C529" s="1" t="n">
        <v>46046</v>
      </c>
      <c r="D529" t="inlineStr">
        <is>
          <t>JÄMTLANDS LÄN</t>
        </is>
      </c>
      <c r="E529" t="inlineStr">
        <is>
          <t>HÄRJEDALEN</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25286-2025</t>
        </is>
      </c>
      <c r="B530" s="1" t="n">
        <v>45800.56222222222</v>
      </c>
      <c r="C530" s="1" t="n">
        <v>46046</v>
      </c>
      <c r="D530" t="inlineStr">
        <is>
          <t>JÄMTLANDS LÄN</t>
        </is>
      </c>
      <c r="E530" t="inlineStr">
        <is>
          <t>HÄRJEDALEN</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78-2023</t>
        </is>
      </c>
      <c r="B531" s="1" t="n">
        <v>44928</v>
      </c>
      <c r="C531" s="1" t="n">
        <v>46046</v>
      </c>
      <c r="D531" t="inlineStr">
        <is>
          <t>JÄMTLANDS LÄN</t>
        </is>
      </c>
      <c r="E531" t="inlineStr">
        <is>
          <t>HÄRJEDALEN</t>
        </is>
      </c>
      <c r="F531" t="inlineStr">
        <is>
          <t>Holmen skog AB</t>
        </is>
      </c>
      <c r="G531" t="n">
        <v>3.1</v>
      </c>
      <c r="H531" t="n">
        <v>0</v>
      </c>
      <c r="I531" t="n">
        <v>0</v>
      </c>
      <c r="J531" t="n">
        <v>0</v>
      </c>
      <c r="K531" t="n">
        <v>0</v>
      </c>
      <c r="L531" t="n">
        <v>0</v>
      </c>
      <c r="M531" t="n">
        <v>0</v>
      </c>
      <c r="N531" t="n">
        <v>0</v>
      </c>
      <c r="O531" t="n">
        <v>0</v>
      </c>
      <c r="P531" t="n">
        <v>0</v>
      </c>
      <c r="Q531" t="n">
        <v>0</v>
      </c>
      <c r="R531" s="2" t="inlineStr"/>
    </row>
    <row r="532" ht="15" customHeight="1">
      <c r="A532" t="inlineStr">
        <is>
          <t>A 105-2023</t>
        </is>
      </c>
      <c r="B532" s="1" t="n">
        <v>44928.48072916667</v>
      </c>
      <c r="C532" s="1" t="n">
        <v>46046</v>
      </c>
      <c r="D532" t="inlineStr">
        <is>
          <t>JÄMTLANDS LÄN</t>
        </is>
      </c>
      <c r="E532" t="inlineStr">
        <is>
          <t>HÄRJEDALEN</t>
        </is>
      </c>
      <c r="F532" t="inlineStr">
        <is>
          <t>Holmen skog AB</t>
        </is>
      </c>
      <c r="G532" t="n">
        <v>17.5</v>
      </c>
      <c r="H532" t="n">
        <v>0</v>
      </c>
      <c r="I532" t="n">
        <v>0</v>
      </c>
      <c r="J532" t="n">
        <v>0</v>
      </c>
      <c r="K532" t="n">
        <v>0</v>
      </c>
      <c r="L532" t="n">
        <v>0</v>
      </c>
      <c r="M532" t="n">
        <v>0</v>
      </c>
      <c r="N532" t="n">
        <v>0</v>
      </c>
      <c r="O532" t="n">
        <v>0</v>
      </c>
      <c r="P532" t="n">
        <v>0</v>
      </c>
      <c r="Q532" t="n">
        <v>0</v>
      </c>
      <c r="R532" s="2" t="inlineStr"/>
    </row>
    <row r="533" ht="15" customHeight="1">
      <c r="A533" t="inlineStr">
        <is>
          <t>A 10000-2023</t>
        </is>
      </c>
      <c r="B533" s="1" t="n">
        <v>44985</v>
      </c>
      <c r="C533" s="1" t="n">
        <v>46046</v>
      </c>
      <c r="D533" t="inlineStr">
        <is>
          <t>JÄMTLANDS LÄN</t>
        </is>
      </c>
      <c r="E533" t="inlineStr">
        <is>
          <t>HÄRJEDALEN</t>
        </is>
      </c>
      <c r="F533" t="inlineStr">
        <is>
          <t>Holmen skog AB</t>
        </is>
      </c>
      <c r="G533" t="n">
        <v>12.6</v>
      </c>
      <c r="H533" t="n">
        <v>0</v>
      </c>
      <c r="I533" t="n">
        <v>0</v>
      </c>
      <c r="J533" t="n">
        <v>0</v>
      </c>
      <c r="K533" t="n">
        <v>0</v>
      </c>
      <c r="L533" t="n">
        <v>0</v>
      </c>
      <c r="M533" t="n">
        <v>0</v>
      </c>
      <c r="N533" t="n">
        <v>0</v>
      </c>
      <c r="O533" t="n">
        <v>0</v>
      </c>
      <c r="P533" t="n">
        <v>0</v>
      </c>
      <c r="Q533" t="n">
        <v>0</v>
      </c>
      <c r="R533" s="2" t="inlineStr"/>
    </row>
    <row r="534" ht="15" customHeight="1">
      <c r="A534" t="inlineStr">
        <is>
          <t>A 14401-2025</t>
        </is>
      </c>
      <c r="B534" s="1" t="n">
        <v>45741.45597222223</v>
      </c>
      <c r="C534" s="1" t="n">
        <v>46046</v>
      </c>
      <c r="D534" t="inlineStr">
        <is>
          <t>JÄMTLANDS LÄN</t>
        </is>
      </c>
      <c r="E534" t="inlineStr">
        <is>
          <t>HÄRJEDALEN</t>
        </is>
      </c>
      <c r="G534" t="n">
        <v>7.2</v>
      </c>
      <c r="H534" t="n">
        <v>0</v>
      </c>
      <c r="I534" t="n">
        <v>0</v>
      </c>
      <c r="J534" t="n">
        <v>0</v>
      </c>
      <c r="K534" t="n">
        <v>0</v>
      </c>
      <c r="L534" t="n">
        <v>0</v>
      </c>
      <c r="M534" t="n">
        <v>0</v>
      </c>
      <c r="N534" t="n">
        <v>0</v>
      </c>
      <c r="O534" t="n">
        <v>0</v>
      </c>
      <c r="P534" t="n">
        <v>0</v>
      </c>
      <c r="Q534" t="n">
        <v>0</v>
      </c>
      <c r="R534" s="2" t="inlineStr"/>
    </row>
    <row r="535" ht="15" customHeight="1">
      <c r="A535" t="inlineStr">
        <is>
          <t>A 25198-2025</t>
        </is>
      </c>
      <c r="B535" s="1" t="n">
        <v>45800.46069444445</v>
      </c>
      <c r="C535" s="1" t="n">
        <v>46046</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46046</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1394-2025</t>
        </is>
      </c>
      <c r="B537" s="1" t="n">
        <v>45667</v>
      </c>
      <c r="C537" s="1" t="n">
        <v>46046</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25112-2025</t>
        </is>
      </c>
      <c r="B538" s="1" t="n">
        <v>45800.35670138889</v>
      </c>
      <c r="C538" s="1" t="n">
        <v>46046</v>
      </c>
      <c r="D538" t="inlineStr">
        <is>
          <t>JÄMTLANDS LÄN</t>
        </is>
      </c>
      <c r="E538" t="inlineStr">
        <is>
          <t>HÄRJEDALEN</t>
        </is>
      </c>
      <c r="F538" t="inlineStr">
        <is>
          <t>Holmen skog AB</t>
        </is>
      </c>
      <c r="G538" t="n">
        <v>5.2</v>
      </c>
      <c r="H538" t="n">
        <v>0</v>
      </c>
      <c r="I538" t="n">
        <v>0</v>
      </c>
      <c r="J538" t="n">
        <v>0</v>
      </c>
      <c r="K538" t="n">
        <v>0</v>
      </c>
      <c r="L538" t="n">
        <v>0</v>
      </c>
      <c r="M538" t="n">
        <v>0</v>
      </c>
      <c r="N538" t="n">
        <v>0</v>
      </c>
      <c r="O538" t="n">
        <v>0</v>
      </c>
      <c r="P538" t="n">
        <v>0</v>
      </c>
      <c r="Q538" t="n">
        <v>0</v>
      </c>
      <c r="R538" s="2" t="inlineStr"/>
    </row>
    <row r="539" ht="15" customHeight="1">
      <c r="A539" t="inlineStr">
        <is>
          <t>A 14752-2024</t>
        </is>
      </c>
      <c r="B539" s="1" t="n">
        <v>45397.64855324074</v>
      </c>
      <c r="C539" s="1" t="n">
        <v>46046</v>
      </c>
      <c r="D539" t="inlineStr">
        <is>
          <t>JÄMTLANDS LÄN</t>
        </is>
      </c>
      <c r="E539" t="inlineStr">
        <is>
          <t>HÄRJEDALEN</t>
        </is>
      </c>
      <c r="G539" t="n">
        <v>5</v>
      </c>
      <c r="H539" t="n">
        <v>0</v>
      </c>
      <c r="I539" t="n">
        <v>0</v>
      </c>
      <c r="J539" t="n">
        <v>0</v>
      </c>
      <c r="K539" t="n">
        <v>0</v>
      </c>
      <c r="L539" t="n">
        <v>0</v>
      </c>
      <c r="M539" t="n">
        <v>0</v>
      </c>
      <c r="N539" t="n">
        <v>0</v>
      </c>
      <c r="O539" t="n">
        <v>0</v>
      </c>
      <c r="P539" t="n">
        <v>0</v>
      </c>
      <c r="Q539" t="n">
        <v>0</v>
      </c>
      <c r="R539" s="2" t="inlineStr"/>
    </row>
    <row r="540" ht="15" customHeight="1">
      <c r="A540" t="inlineStr">
        <is>
          <t>A 45716-2023</t>
        </is>
      </c>
      <c r="B540" s="1" t="n">
        <v>45195.35877314815</v>
      </c>
      <c r="C540" s="1" t="n">
        <v>46046</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25515-2025</t>
        </is>
      </c>
      <c r="B541" s="1" t="n">
        <v>45803.37258101852</v>
      </c>
      <c r="C541" s="1" t="n">
        <v>46046</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25223-2025</t>
        </is>
      </c>
      <c r="B542" s="1" t="n">
        <v>45800.48060185185</v>
      </c>
      <c r="C542" s="1" t="n">
        <v>46046</v>
      </c>
      <c r="D542" t="inlineStr">
        <is>
          <t>JÄMTLANDS LÄN</t>
        </is>
      </c>
      <c r="E542" t="inlineStr">
        <is>
          <t>HÄRJEDALEN</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27512-2024</t>
        </is>
      </c>
      <c r="B543" s="1" t="n">
        <v>45474.54432870371</v>
      </c>
      <c r="C543" s="1" t="n">
        <v>46046</v>
      </c>
      <c r="D543" t="inlineStr">
        <is>
          <t>JÄMTLANDS LÄN</t>
        </is>
      </c>
      <c r="E543" t="inlineStr">
        <is>
          <t>HÄRJEDALEN</t>
        </is>
      </c>
      <c r="G543" t="n">
        <v>19.3</v>
      </c>
      <c r="H543" t="n">
        <v>0</v>
      </c>
      <c r="I543" t="n">
        <v>0</v>
      </c>
      <c r="J543" t="n">
        <v>0</v>
      </c>
      <c r="K543" t="n">
        <v>0</v>
      </c>
      <c r="L543" t="n">
        <v>0</v>
      </c>
      <c r="M543" t="n">
        <v>0</v>
      </c>
      <c r="N543" t="n">
        <v>0</v>
      </c>
      <c r="O543" t="n">
        <v>0</v>
      </c>
      <c r="P543" t="n">
        <v>0</v>
      </c>
      <c r="Q543" t="n">
        <v>0</v>
      </c>
      <c r="R543" s="2" t="inlineStr"/>
    </row>
    <row r="544" ht="15" customHeight="1">
      <c r="A544" t="inlineStr">
        <is>
          <t>A 25109-2025</t>
        </is>
      </c>
      <c r="B544" s="1" t="n">
        <v>45800.3503587963</v>
      </c>
      <c r="C544" s="1" t="n">
        <v>46046</v>
      </c>
      <c r="D544" t="inlineStr">
        <is>
          <t>JÄMTLANDS LÄN</t>
        </is>
      </c>
      <c r="E544" t="inlineStr">
        <is>
          <t>HÄRJEDALEN</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25253-2025</t>
        </is>
      </c>
      <c r="B545" s="1" t="n">
        <v>45800.50431712963</v>
      </c>
      <c r="C545" s="1" t="n">
        <v>46046</v>
      </c>
      <c r="D545" t="inlineStr">
        <is>
          <t>JÄMTLANDS LÄN</t>
        </is>
      </c>
      <c r="E545" t="inlineStr">
        <is>
          <t>HÄRJEDALEN</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31920-2024</t>
        </is>
      </c>
      <c r="B546" s="1" t="n">
        <v>45510</v>
      </c>
      <c r="C546" s="1" t="n">
        <v>46046</v>
      </c>
      <c r="D546" t="inlineStr">
        <is>
          <t>JÄMTLANDS LÄN</t>
        </is>
      </c>
      <c r="E546" t="inlineStr">
        <is>
          <t>HÄRJEDALEN</t>
        </is>
      </c>
      <c r="G546" t="n">
        <v>1</v>
      </c>
      <c r="H546" t="n">
        <v>0</v>
      </c>
      <c r="I546" t="n">
        <v>0</v>
      </c>
      <c r="J546" t="n">
        <v>0</v>
      </c>
      <c r="K546" t="n">
        <v>0</v>
      </c>
      <c r="L546" t="n">
        <v>0</v>
      </c>
      <c r="M546" t="n">
        <v>0</v>
      </c>
      <c r="N546" t="n">
        <v>0</v>
      </c>
      <c r="O546" t="n">
        <v>0</v>
      </c>
      <c r="P546" t="n">
        <v>0</v>
      </c>
      <c r="Q546" t="n">
        <v>0</v>
      </c>
      <c r="R546" s="2" t="inlineStr"/>
    </row>
    <row r="547" ht="15" customHeight="1">
      <c r="A547" t="inlineStr">
        <is>
          <t>A 25343-2025</t>
        </is>
      </c>
      <c r="B547" s="1" t="n">
        <v>45800.60508101852</v>
      </c>
      <c r="C547" s="1" t="n">
        <v>46046</v>
      </c>
      <c r="D547" t="inlineStr">
        <is>
          <t>JÄMTLANDS LÄN</t>
        </is>
      </c>
      <c r="E547" t="inlineStr">
        <is>
          <t>HÄRJEDALEN</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25288-2025</t>
        </is>
      </c>
      <c r="B548" s="1" t="n">
        <v>45800.56313657408</v>
      </c>
      <c r="C548" s="1" t="n">
        <v>46046</v>
      </c>
      <c r="D548" t="inlineStr">
        <is>
          <t>JÄMTLANDS LÄN</t>
        </is>
      </c>
      <c r="E548" t="inlineStr">
        <is>
          <t>HÄRJEDALEN</t>
        </is>
      </c>
      <c r="G548" t="n">
        <v>4.6</v>
      </c>
      <c r="H548" t="n">
        <v>0</v>
      </c>
      <c r="I548" t="n">
        <v>0</v>
      </c>
      <c r="J548" t="n">
        <v>0</v>
      </c>
      <c r="K548" t="n">
        <v>0</v>
      </c>
      <c r="L548" t="n">
        <v>0</v>
      </c>
      <c r="M548" t="n">
        <v>0</v>
      </c>
      <c r="N548" t="n">
        <v>0</v>
      </c>
      <c r="O548" t="n">
        <v>0</v>
      </c>
      <c r="P548" t="n">
        <v>0</v>
      </c>
      <c r="Q548" t="n">
        <v>0</v>
      </c>
      <c r="R548" s="2" t="inlineStr"/>
    </row>
    <row r="549" ht="15" customHeight="1">
      <c r="A549" t="inlineStr">
        <is>
          <t>A 25315-2025</t>
        </is>
      </c>
      <c r="B549" s="1" t="n">
        <v>45800.57837962963</v>
      </c>
      <c r="C549" s="1" t="n">
        <v>46046</v>
      </c>
      <c r="D549" t="inlineStr">
        <is>
          <t>JÄMTLANDS LÄN</t>
        </is>
      </c>
      <c r="E549" t="inlineStr">
        <is>
          <t>HÄRJEDALEN</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55661-2024</t>
        </is>
      </c>
      <c r="B550" s="1" t="n">
        <v>45622.64012731481</v>
      </c>
      <c r="C550" s="1" t="n">
        <v>46046</v>
      </c>
      <c r="D550" t="inlineStr">
        <is>
          <t>JÄMTLANDS LÄN</t>
        </is>
      </c>
      <c r="E550" t="inlineStr">
        <is>
          <t>HÄRJEDALEN</t>
        </is>
      </c>
      <c r="F550" t="inlineStr">
        <is>
          <t>Bergvik skog väst AB</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17291-2025</t>
        </is>
      </c>
      <c r="B551" s="1" t="n">
        <v>45756</v>
      </c>
      <c r="C551" s="1" t="n">
        <v>46046</v>
      </c>
      <c r="D551" t="inlineStr">
        <is>
          <t>JÄMTLANDS LÄN</t>
        </is>
      </c>
      <c r="E551" t="inlineStr">
        <is>
          <t>HÄRJEDALEN</t>
        </is>
      </c>
      <c r="G551" t="n">
        <v>7.1</v>
      </c>
      <c r="H551" t="n">
        <v>0</v>
      </c>
      <c r="I551" t="n">
        <v>0</v>
      </c>
      <c r="J551" t="n">
        <v>0</v>
      </c>
      <c r="K551" t="n">
        <v>0</v>
      </c>
      <c r="L551" t="n">
        <v>0</v>
      </c>
      <c r="M551" t="n">
        <v>0</v>
      </c>
      <c r="N551" t="n">
        <v>0</v>
      </c>
      <c r="O551" t="n">
        <v>0</v>
      </c>
      <c r="P551" t="n">
        <v>0</v>
      </c>
      <c r="Q551" t="n">
        <v>0</v>
      </c>
      <c r="R551" s="2" t="inlineStr"/>
    </row>
    <row r="552" ht="15" customHeight="1">
      <c r="A552" t="inlineStr">
        <is>
          <t>A 25127-2025</t>
        </is>
      </c>
      <c r="B552" s="1" t="n">
        <v>45800.3787037037</v>
      </c>
      <c r="C552" s="1" t="n">
        <v>46046</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25147-2025</t>
        </is>
      </c>
      <c r="B553" s="1" t="n">
        <v>45800.41883101852</v>
      </c>
      <c r="C553" s="1" t="n">
        <v>46046</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25232-2025</t>
        </is>
      </c>
      <c r="B554" s="1" t="n">
        <v>45800.48515046296</v>
      </c>
      <c r="C554" s="1" t="n">
        <v>46046</v>
      </c>
      <c r="D554" t="inlineStr">
        <is>
          <t>JÄMTLANDS LÄN</t>
        </is>
      </c>
      <c r="E554" t="inlineStr">
        <is>
          <t>HÄRJEDALEN</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37747-2023</t>
        </is>
      </c>
      <c r="B555" s="1" t="n">
        <v>45159</v>
      </c>
      <c r="C555" s="1" t="n">
        <v>46046</v>
      </c>
      <c r="D555" t="inlineStr">
        <is>
          <t>JÄMTLANDS LÄN</t>
        </is>
      </c>
      <c r="E555" t="inlineStr">
        <is>
          <t>HÄRJEDALEN</t>
        </is>
      </c>
      <c r="F555" t="inlineStr">
        <is>
          <t>Bergvik skog väst AB</t>
        </is>
      </c>
      <c r="G555" t="n">
        <v>5.1</v>
      </c>
      <c r="H555" t="n">
        <v>0</v>
      </c>
      <c r="I555" t="n">
        <v>0</v>
      </c>
      <c r="J555" t="n">
        <v>0</v>
      </c>
      <c r="K555" t="n">
        <v>0</v>
      </c>
      <c r="L555" t="n">
        <v>0</v>
      </c>
      <c r="M555" t="n">
        <v>0</v>
      </c>
      <c r="N555" t="n">
        <v>0</v>
      </c>
      <c r="O555" t="n">
        <v>0</v>
      </c>
      <c r="P555" t="n">
        <v>0</v>
      </c>
      <c r="Q555" t="n">
        <v>0</v>
      </c>
      <c r="R555" s="2" t="inlineStr"/>
    </row>
    <row r="556" ht="15" customHeight="1">
      <c r="A556" t="inlineStr">
        <is>
          <t>A 37762-2023</t>
        </is>
      </c>
      <c r="B556" s="1" t="n">
        <v>45159</v>
      </c>
      <c r="C556" s="1" t="n">
        <v>46046</v>
      </c>
      <c r="D556" t="inlineStr">
        <is>
          <t>JÄMTLANDS LÄN</t>
        </is>
      </c>
      <c r="E556" t="inlineStr">
        <is>
          <t>HÄRJEDALEN</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25933-2025</t>
        </is>
      </c>
      <c r="B557" s="1" t="n">
        <v>45804.589375</v>
      </c>
      <c r="C557" s="1" t="n">
        <v>46046</v>
      </c>
      <c r="D557" t="inlineStr">
        <is>
          <t>JÄMTLANDS LÄN</t>
        </is>
      </c>
      <c r="E557" t="inlineStr">
        <is>
          <t>HÄRJEDALEN</t>
        </is>
      </c>
      <c r="G557" t="n">
        <v>2.7</v>
      </c>
      <c r="H557" t="n">
        <v>0</v>
      </c>
      <c r="I557" t="n">
        <v>0</v>
      </c>
      <c r="J557" t="n">
        <v>0</v>
      </c>
      <c r="K557" t="n">
        <v>0</v>
      </c>
      <c r="L557" t="n">
        <v>0</v>
      </c>
      <c r="M557" t="n">
        <v>0</v>
      </c>
      <c r="N557" t="n">
        <v>0</v>
      </c>
      <c r="O557" t="n">
        <v>0</v>
      </c>
      <c r="P557" t="n">
        <v>0</v>
      </c>
      <c r="Q557" t="n">
        <v>0</v>
      </c>
      <c r="R557" s="2" t="inlineStr"/>
    </row>
    <row r="558" ht="15" customHeight="1">
      <c r="A558" t="inlineStr">
        <is>
          <t>A 41101-2024</t>
        </is>
      </c>
      <c r="B558" s="1" t="n">
        <v>45559.43645833333</v>
      </c>
      <c r="C558" s="1" t="n">
        <v>46046</v>
      </c>
      <c r="D558" t="inlineStr">
        <is>
          <t>JÄMTLANDS LÄN</t>
        </is>
      </c>
      <c r="E558" t="inlineStr">
        <is>
          <t>HÄRJEDALEN</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9775-2024</t>
        </is>
      </c>
      <c r="B559" s="1" t="n">
        <v>45362.64613425926</v>
      </c>
      <c r="C559" s="1" t="n">
        <v>46046</v>
      </c>
      <c r="D559" t="inlineStr">
        <is>
          <t>JÄMTLANDS LÄN</t>
        </is>
      </c>
      <c r="E559" t="inlineStr">
        <is>
          <t>HÄRJEDALEN</t>
        </is>
      </c>
      <c r="G559" t="n">
        <v>0.2</v>
      </c>
      <c r="H559" t="n">
        <v>0</v>
      </c>
      <c r="I559" t="n">
        <v>0</v>
      </c>
      <c r="J559" t="n">
        <v>0</v>
      </c>
      <c r="K559" t="n">
        <v>0</v>
      </c>
      <c r="L559" t="n">
        <v>0</v>
      </c>
      <c r="M559" t="n">
        <v>0</v>
      </c>
      <c r="N559" t="n">
        <v>0</v>
      </c>
      <c r="O559" t="n">
        <v>0</v>
      </c>
      <c r="P559" t="n">
        <v>0</v>
      </c>
      <c r="Q559" t="n">
        <v>0</v>
      </c>
      <c r="R559" s="2" t="inlineStr"/>
    </row>
    <row r="560" ht="15" customHeight="1">
      <c r="A560" t="inlineStr">
        <is>
          <t>A 9778-2024</t>
        </is>
      </c>
      <c r="B560" s="1" t="n">
        <v>45362.65407407407</v>
      </c>
      <c r="C560" s="1" t="n">
        <v>46046</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20865-2024</t>
        </is>
      </c>
      <c r="B561" s="1" t="n">
        <v>45439.43106481482</v>
      </c>
      <c r="C561" s="1" t="n">
        <v>46046</v>
      </c>
      <c r="D561" t="inlineStr">
        <is>
          <t>JÄMTLANDS LÄN</t>
        </is>
      </c>
      <c r="E561" t="inlineStr">
        <is>
          <t>HÄRJEDALEN</t>
        </is>
      </c>
      <c r="F561" t="inlineStr">
        <is>
          <t>Holmen skog AB</t>
        </is>
      </c>
      <c r="G561" t="n">
        <v>7.2</v>
      </c>
      <c r="H561" t="n">
        <v>0</v>
      </c>
      <c r="I561" t="n">
        <v>0</v>
      </c>
      <c r="J561" t="n">
        <v>0</v>
      </c>
      <c r="K561" t="n">
        <v>0</v>
      </c>
      <c r="L561" t="n">
        <v>0</v>
      </c>
      <c r="M561" t="n">
        <v>0</v>
      </c>
      <c r="N561" t="n">
        <v>0</v>
      </c>
      <c r="O561" t="n">
        <v>0</v>
      </c>
      <c r="P561" t="n">
        <v>0</v>
      </c>
      <c r="Q561" t="n">
        <v>0</v>
      </c>
      <c r="R561" s="2" t="inlineStr"/>
    </row>
    <row r="562" ht="15" customHeight="1">
      <c r="A562" t="inlineStr">
        <is>
          <t>A 60050-2024</t>
        </is>
      </c>
      <c r="B562" s="1" t="n">
        <v>45642</v>
      </c>
      <c r="C562" s="1" t="n">
        <v>46046</v>
      </c>
      <c r="D562" t="inlineStr">
        <is>
          <t>JÄMTLANDS LÄN</t>
        </is>
      </c>
      <c r="E562" t="inlineStr">
        <is>
          <t>HÄRJEDALEN</t>
        </is>
      </c>
      <c r="G562" t="n">
        <v>3.6</v>
      </c>
      <c r="H562" t="n">
        <v>0</v>
      </c>
      <c r="I562" t="n">
        <v>0</v>
      </c>
      <c r="J562" t="n">
        <v>0</v>
      </c>
      <c r="K562" t="n">
        <v>0</v>
      </c>
      <c r="L562" t="n">
        <v>0</v>
      </c>
      <c r="M562" t="n">
        <v>0</v>
      </c>
      <c r="N562" t="n">
        <v>0</v>
      </c>
      <c r="O562" t="n">
        <v>0</v>
      </c>
      <c r="P562" t="n">
        <v>0</v>
      </c>
      <c r="Q562" t="n">
        <v>0</v>
      </c>
      <c r="R562" s="2" t="inlineStr"/>
    </row>
    <row r="563" ht="15" customHeight="1">
      <c r="A563" t="inlineStr">
        <is>
          <t>A 29343-2024</t>
        </is>
      </c>
      <c r="B563" s="1" t="n">
        <v>45483.47207175926</v>
      </c>
      <c r="C563" s="1" t="n">
        <v>46046</v>
      </c>
      <c r="D563" t="inlineStr">
        <is>
          <t>JÄMTLANDS LÄN</t>
        </is>
      </c>
      <c r="E563" t="inlineStr">
        <is>
          <t>HÄRJEDALEN</t>
        </is>
      </c>
      <c r="G563" t="n">
        <v>19</v>
      </c>
      <c r="H563" t="n">
        <v>0</v>
      </c>
      <c r="I563" t="n">
        <v>0</v>
      </c>
      <c r="J563" t="n">
        <v>0</v>
      </c>
      <c r="K563" t="n">
        <v>0</v>
      </c>
      <c r="L563" t="n">
        <v>0</v>
      </c>
      <c r="M563" t="n">
        <v>0</v>
      </c>
      <c r="N563" t="n">
        <v>0</v>
      </c>
      <c r="O563" t="n">
        <v>0</v>
      </c>
      <c r="P563" t="n">
        <v>0</v>
      </c>
      <c r="Q563" t="n">
        <v>0</v>
      </c>
      <c r="R563" s="2" t="inlineStr"/>
    </row>
    <row r="564" ht="15" customHeight="1">
      <c r="A564" t="inlineStr">
        <is>
          <t>A 58352-2024</t>
        </is>
      </c>
      <c r="B564" s="1" t="n">
        <v>45632.65197916667</v>
      </c>
      <c r="C564" s="1" t="n">
        <v>46046</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25931-2025</t>
        </is>
      </c>
      <c r="B565" s="1" t="n">
        <v>45804.5813425926</v>
      </c>
      <c r="C565" s="1" t="n">
        <v>46046</v>
      </c>
      <c r="D565" t="inlineStr">
        <is>
          <t>JÄMTLANDS LÄN</t>
        </is>
      </c>
      <c r="E565" t="inlineStr">
        <is>
          <t>HÄRJEDALEN</t>
        </is>
      </c>
      <c r="F565" t="inlineStr">
        <is>
          <t>Bergvik skog väst AB</t>
        </is>
      </c>
      <c r="G565" t="n">
        <v>14.2</v>
      </c>
      <c r="H565" t="n">
        <v>0</v>
      </c>
      <c r="I565" t="n">
        <v>0</v>
      </c>
      <c r="J565" t="n">
        <v>0</v>
      </c>
      <c r="K565" t="n">
        <v>0</v>
      </c>
      <c r="L565" t="n">
        <v>0</v>
      </c>
      <c r="M565" t="n">
        <v>0</v>
      </c>
      <c r="N565" t="n">
        <v>0</v>
      </c>
      <c r="O565" t="n">
        <v>0</v>
      </c>
      <c r="P565" t="n">
        <v>0</v>
      </c>
      <c r="Q565" t="n">
        <v>0</v>
      </c>
      <c r="R565" s="2" t="inlineStr"/>
    </row>
    <row r="566" ht="15" customHeight="1">
      <c r="A566" t="inlineStr">
        <is>
          <t>A 26209-2025</t>
        </is>
      </c>
      <c r="B566" s="1" t="n">
        <v>45805.53280092592</v>
      </c>
      <c r="C566" s="1" t="n">
        <v>46046</v>
      </c>
      <c r="D566" t="inlineStr">
        <is>
          <t>JÄMTLANDS LÄN</t>
        </is>
      </c>
      <c r="E566" t="inlineStr">
        <is>
          <t>HÄRJEDALEN</t>
        </is>
      </c>
      <c r="F566" t="inlineStr">
        <is>
          <t>Bergvik skog väst AB</t>
        </is>
      </c>
      <c r="G566" t="n">
        <v>27.3</v>
      </c>
      <c r="H566" t="n">
        <v>0</v>
      </c>
      <c r="I566" t="n">
        <v>0</v>
      </c>
      <c r="J566" t="n">
        <v>0</v>
      </c>
      <c r="K566" t="n">
        <v>0</v>
      </c>
      <c r="L566" t="n">
        <v>0</v>
      </c>
      <c r="M566" t="n">
        <v>0</v>
      </c>
      <c r="N566" t="n">
        <v>0</v>
      </c>
      <c r="O566" t="n">
        <v>0</v>
      </c>
      <c r="P566" t="n">
        <v>0</v>
      </c>
      <c r="Q566" t="n">
        <v>0</v>
      </c>
      <c r="R566" s="2" t="inlineStr"/>
    </row>
    <row r="567" ht="15" customHeight="1">
      <c r="A567" t="inlineStr">
        <is>
          <t>A 60709-2024</t>
        </is>
      </c>
      <c r="B567" s="1" t="n">
        <v>45644.50141203704</v>
      </c>
      <c r="C567" s="1" t="n">
        <v>46046</v>
      </c>
      <c r="D567" t="inlineStr">
        <is>
          <t>JÄMTLANDS LÄN</t>
        </is>
      </c>
      <c r="E567" t="inlineStr">
        <is>
          <t>HÄRJEDALEN</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4899-2025</t>
        </is>
      </c>
      <c r="B568" s="1" t="n">
        <v>45688.67935185185</v>
      </c>
      <c r="C568" s="1" t="n">
        <v>46046</v>
      </c>
      <c r="D568" t="inlineStr">
        <is>
          <t>JÄMTLANDS LÄN</t>
        </is>
      </c>
      <c r="E568" t="inlineStr">
        <is>
          <t>HÄRJEDALEN</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16626-2025</t>
        </is>
      </c>
      <c r="B569" s="1" t="n">
        <v>45754.35055555555</v>
      </c>
      <c r="C569" s="1" t="n">
        <v>46046</v>
      </c>
      <c r="D569" t="inlineStr">
        <is>
          <t>JÄMTLANDS LÄN</t>
        </is>
      </c>
      <c r="E569" t="inlineStr">
        <is>
          <t>HÄRJEDALEN</t>
        </is>
      </c>
      <c r="G569" t="n">
        <v>2.7</v>
      </c>
      <c r="H569" t="n">
        <v>0</v>
      </c>
      <c r="I569" t="n">
        <v>0</v>
      </c>
      <c r="J569" t="n">
        <v>0</v>
      </c>
      <c r="K569" t="n">
        <v>0</v>
      </c>
      <c r="L569" t="n">
        <v>0</v>
      </c>
      <c r="M569" t="n">
        <v>0</v>
      </c>
      <c r="N569" t="n">
        <v>0</v>
      </c>
      <c r="O569" t="n">
        <v>0</v>
      </c>
      <c r="P569" t="n">
        <v>0</v>
      </c>
      <c r="Q569" t="n">
        <v>0</v>
      </c>
      <c r="R569" s="2" t="inlineStr"/>
    </row>
    <row r="570" ht="15" customHeight="1">
      <c r="A570" t="inlineStr">
        <is>
          <t>A 20104-2025</t>
        </is>
      </c>
      <c r="B570" s="1" t="n">
        <v>45772.46965277778</v>
      </c>
      <c r="C570" s="1" t="n">
        <v>46046</v>
      </c>
      <c r="D570" t="inlineStr">
        <is>
          <t>JÄMTLANDS LÄN</t>
        </is>
      </c>
      <c r="E570" t="inlineStr">
        <is>
          <t>HÄRJEDALEN</t>
        </is>
      </c>
      <c r="F570" t="inlineStr">
        <is>
          <t>SCA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26540-2025</t>
        </is>
      </c>
      <c r="B571" s="1" t="n">
        <v>45807.58393518518</v>
      </c>
      <c r="C571" s="1" t="n">
        <v>46046</v>
      </c>
      <c r="D571" t="inlineStr">
        <is>
          <t>JÄMTLANDS LÄN</t>
        </is>
      </c>
      <c r="E571" t="inlineStr">
        <is>
          <t>HÄRJEDALEN</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46046</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26486-2025</t>
        </is>
      </c>
      <c r="B573" s="1" t="n">
        <v>45807.47479166667</v>
      </c>
      <c r="C573" s="1" t="n">
        <v>46046</v>
      </c>
      <c r="D573" t="inlineStr">
        <is>
          <t>JÄMTLANDS LÄN</t>
        </is>
      </c>
      <c r="E573" t="inlineStr">
        <is>
          <t>HÄRJEDALEN</t>
        </is>
      </c>
      <c r="F573" t="inlineStr">
        <is>
          <t>Holmen skog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26404-2025</t>
        </is>
      </c>
      <c r="B574" s="1" t="n">
        <v>45807.3409837963</v>
      </c>
      <c r="C574" s="1" t="n">
        <v>46046</v>
      </c>
      <c r="D574" t="inlineStr">
        <is>
          <t>JÄMTLANDS LÄN</t>
        </is>
      </c>
      <c r="E574" t="inlineStr">
        <is>
          <t>HÄRJEDALEN</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26411-2025</t>
        </is>
      </c>
      <c r="B575" s="1" t="n">
        <v>45807.35476851852</v>
      </c>
      <c r="C575" s="1" t="n">
        <v>46046</v>
      </c>
      <c r="D575" t="inlineStr">
        <is>
          <t>JÄMTLANDS LÄN</t>
        </is>
      </c>
      <c r="E575" t="inlineStr">
        <is>
          <t>HÄRJEDALEN</t>
        </is>
      </c>
      <c r="F575" t="inlineStr">
        <is>
          <t>Holmen skog AB</t>
        </is>
      </c>
      <c r="G575" t="n">
        <v>12.4</v>
      </c>
      <c r="H575" t="n">
        <v>0</v>
      </c>
      <c r="I575" t="n">
        <v>0</v>
      </c>
      <c r="J575" t="n">
        <v>0</v>
      </c>
      <c r="K575" t="n">
        <v>0</v>
      </c>
      <c r="L575" t="n">
        <v>0</v>
      </c>
      <c r="M575" t="n">
        <v>0</v>
      </c>
      <c r="N575" t="n">
        <v>0</v>
      </c>
      <c r="O575" t="n">
        <v>0</v>
      </c>
      <c r="P575" t="n">
        <v>0</v>
      </c>
      <c r="Q575" t="n">
        <v>0</v>
      </c>
      <c r="R575" s="2" t="inlineStr"/>
    </row>
    <row r="576" ht="15" customHeight="1">
      <c r="A576" t="inlineStr">
        <is>
          <t>A 26443-2025</t>
        </is>
      </c>
      <c r="B576" s="1" t="n">
        <v>45807.41287037037</v>
      </c>
      <c r="C576" s="1" t="n">
        <v>46046</v>
      </c>
      <c r="D576" t="inlineStr">
        <is>
          <t>JÄMTLANDS LÄN</t>
        </is>
      </c>
      <c r="E576" t="inlineStr">
        <is>
          <t>HÄRJEDALEN</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26451-2025</t>
        </is>
      </c>
      <c r="B577" s="1" t="n">
        <v>45807.42212962963</v>
      </c>
      <c r="C577" s="1" t="n">
        <v>46046</v>
      </c>
      <c r="D577" t="inlineStr">
        <is>
          <t>JÄMTLANDS LÄN</t>
        </is>
      </c>
      <c r="E577" t="inlineStr">
        <is>
          <t>HÄRJEDALEN</t>
        </is>
      </c>
      <c r="F577" t="inlineStr">
        <is>
          <t>Holmen skog AB</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26495-2025</t>
        </is>
      </c>
      <c r="B578" s="1" t="n">
        <v>45807.49436342593</v>
      </c>
      <c r="C578" s="1" t="n">
        <v>46046</v>
      </c>
      <c r="D578" t="inlineStr">
        <is>
          <t>JÄMTLANDS LÄN</t>
        </is>
      </c>
      <c r="E578" t="inlineStr">
        <is>
          <t>HÄRJEDALEN</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26523-2025</t>
        </is>
      </c>
      <c r="B579" s="1" t="n">
        <v>45807.56403935186</v>
      </c>
      <c r="C579" s="1" t="n">
        <v>46046</v>
      </c>
      <c r="D579" t="inlineStr">
        <is>
          <t>JÄMTLANDS LÄN</t>
        </is>
      </c>
      <c r="E579" t="inlineStr">
        <is>
          <t>HÄRJEDALEN</t>
        </is>
      </c>
      <c r="F579" t="inlineStr">
        <is>
          <t>Holmen skog AB</t>
        </is>
      </c>
      <c r="G579" t="n">
        <v>7.4</v>
      </c>
      <c r="H579" t="n">
        <v>0</v>
      </c>
      <c r="I579" t="n">
        <v>0</v>
      </c>
      <c r="J579" t="n">
        <v>0</v>
      </c>
      <c r="K579" t="n">
        <v>0</v>
      </c>
      <c r="L579" t="n">
        <v>0</v>
      </c>
      <c r="M579" t="n">
        <v>0</v>
      </c>
      <c r="N579" t="n">
        <v>0</v>
      </c>
      <c r="O579" t="n">
        <v>0</v>
      </c>
      <c r="P579" t="n">
        <v>0</v>
      </c>
      <c r="Q579" t="n">
        <v>0</v>
      </c>
      <c r="R579" s="2" t="inlineStr"/>
    </row>
    <row r="580" ht="15" customHeight="1">
      <c r="A580" t="inlineStr">
        <is>
          <t>A 26561-2025</t>
        </is>
      </c>
      <c r="B580" s="1" t="n">
        <v>45807.65438657408</v>
      </c>
      <c r="C580" s="1" t="n">
        <v>46046</v>
      </c>
      <c r="D580" t="inlineStr">
        <is>
          <t>JÄMTLANDS LÄN</t>
        </is>
      </c>
      <c r="E580" t="inlineStr">
        <is>
          <t>HÄRJEDALEN</t>
        </is>
      </c>
      <c r="F580" t="inlineStr">
        <is>
          <t>Holmen skog AB</t>
        </is>
      </c>
      <c r="G580" t="n">
        <v>7.9</v>
      </c>
      <c r="H580" t="n">
        <v>0</v>
      </c>
      <c r="I580" t="n">
        <v>0</v>
      </c>
      <c r="J580" t="n">
        <v>0</v>
      </c>
      <c r="K580" t="n">
        <v>0</v>
      </c>
      <c r="L580" t="n">
        <v>0</v>
      </c>
      <c r="M580" t="n">
        <v>0</v>
      </c>
      <c r="N580" t="n">
        <v>0</v>
      </c>
      <c r="O580" t="n">
        <v>0</v>
      </c>
      <c r="P580" t="n">
        <v>0</v>
      </c>
      <c r="Q580" t="n">
        <v>0</v>
      </c>
      <c r="R580" s="2" t="inlineStr"/>
    </row>
    <row r="581" ht="15" customHeight="1">
      <c r="A581" t="inlineStr">
        <is>
          <t>A 26551-2025</t>
        </is>
      </c>
      <c r="B581" s="1" t="n">
        <v>45807.60333333333</v>
      </c>
      <c r="C581" s="1" t="n">
        <v>46046</v>
      </c>
      <c r="D581" t="inlineStr">
        <is>
          <t>JÄMTLANDS LÄN</t>
        </is>
      </c>
      <c r="E581" t="inlineStr">
        <is>
          <t>HÄRJEDALEN</t>
        </is>
      </c>
      <c r="F581" t="inlineStr">
        <is>
          <t>Holmen skog AB</t>
        </is>
      </c>
      <c r="G581" t="n">
        <v>12.3</v>
      </c>
      <c r="H581" t="n">
        <v>0</v>
      </c>
      <c r="I581" t="n">
        <v>0</v>
      </c>
      <c r="J581" t="n">
        <v>0</v>
      </c>
      <c r="K581" t="n">
        <v>0</v>
      </c>
      <c r="L581" t="n">
        <v>0</v>
      </c>
      <c r="M581" t="n">
        <v>0</v>
      </c>
      <c r="N581" t="n">
        <v>0</v>
      </c>
      <c r="O581" t="n">
        <v>0</v>
      </c>
      <c r="P581" t="n">
        <v>0</v>
      </c>
      <c r="Q581" t="n">
        <v>0</v>
      </c>
      <c r="R581" s="2" t="inlineStr"/>
    </row>
    <row r="582" ht="15" customHeight="1">
      <c r="A582" t="inlineStr">
        <is>
          <t>A 26518-2025</t>
        </is>
      </c>
      <c r="B582" s="1" t="n">
        <v>45807.55893518519</v>
      </c>
      <c r="C582" s="1" t="n">
        <v>46046</v>
      </c>
      <c r="D582" t="inlineStr">
        <is>
          <t>JÄMTLANDS LÄN</t>
        </is>
      </c>
      <c r="E582" t="inlineStr">
        <is>
          <t>HÄRJEDALEN</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26417-2025</t>
        </is>
      </c>
      <c r="B583" s="1" t="n">
        <v>45807.36304398148</v>
      </c>
      <c r="C583" s="1" t="n">
        <v>46046</v>
      </c>
      <c r="D583" t="inlineStr">
        <is>
          <t>JÄMTLANDS LÄN</t>
        </is>
      </c>
      <c r="E583" t="inlineStr">
        <is>
          <t>HÄRJEDALEN</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51188-2024</t>
        </is>
      </c>
      <c r="B584" s="1" t="n">
        <v>45603</v>
      </c>
      <c r="C584" s="1" t="n">
        <v>46046</v>
      </c>
      <c r="D584" t="inlineStr">
        <is>
          <t>JÄMTLANDS LÄN</t>
        </is>
      </c>
      <c r="E584" t="inlineStr">
        <is>
          <t>HÄRJEDALEN</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51223-2024</t>
        </is>
      </c>
      <c r="B585" s="1" t="n">
        <v>45603</v>
      </c>
      <c r="C585" s="1" t="n">
        <v>46046</v>
      </c>
      <c r="D585" t="inlineStr">
        <is>
          <t>JÄMTLANDS LÄN</t>
        </is>
      </c>
      <c r="E585" t="inlineStr">
        <is>
          <t>HÄRJEDALEN</t>
        </is>
      </c>
      <c r="F585" t="inlineStr">
        <is>
          <t>Holmen skog AB</t>
        </is>
      </c>
      <c r="G585" t="n">
        <v>6.1</v>
      </c>
      <c r="H585" t="n">
        <v>0</v>
      </c>
      <c r="I585" t="n">
        <v>0</v>
      </c>
      <c r="J585" t="n">
        <v>0</v>
      </c>
      <c r="K585" t="n">
        <v>0</v>
      </c>
      <c r="L585" t="n">
        <v>0</v>
      </c>
      <c r="M585" t="n">
        <v>0</v>
      </c>
      <c r="N585" t="n">
        <v>0</v>
      </c>
      <c r="O585" t="n">
        <v>0</v>
      </c>
      <c r="P585" t="n">
        <v>0</v>
      </c>
      <c r="Q585" t="n">
        <v>0</v>
      </c>
      <c r="R585" s="2" t="inlineStr"/>
    </row>
    <row r="586" ht="15" customHeight="1">
      <c r="A586" t="inlineStr">
        <is>
          <t>A 26493-2025</t>
        </is>
      </c>
      <c r="B586" s="1" t="n">
        <v>45807.49045138889</v>
      </c>
      <c r="C586" s="1" t="n">
        <v>46046</v>
      </c>
      <c r="D586" t="inlineStr">
        <is>
          <t>JÄMTLANDS LÄN</t>
        </is>
      </c>
      <c r="E586" t="inlineStr">
        <is>
          <t>HÄRJEDALEN</t>
        </is>
      </c>
      <c r="F586" t="inlineStr">
        <is>
          <t>Holmen skog AB</t>
        </is>
      </c>
      <c r="G586" t="n">
        <v>4.8</v>
      </c>
      <c r="H586" t="n">
        <v>0</v>
      </c>
      <c r="I586" t="n">
        <v>0</v>
      </c>
      <c r="J586" t="n">
        <v>0</v>
      </c>
      <c r="K586" t="n">
        <v>0</v>
      </c>
      <c r="L586" t="n">
        <v>0</v>
      </c>
      <c r="M586" t="n">
        <v>0</v>
      </c>
      <c r="N586" t="n">
        <v>0</v>
      </c>
      <c r="O586" t="n">
        <v>0</v>
      </c>
      <c r="P586" t="n">
        <v>0</v>
      </c>
      <c r="Q586" t="n">
        <v>0</v>
      </c>
      <c r="R586" s="2" t="inlineStr"/>
    </row>
    <row r="587" ht="15" customHeight="1">
      <c r="A587" t="inlineStr">
        <is>
          <t>A 26528-2025</t>
        </is>
      </c>
      <c r="B587" s="1" t="n">
        <v>45807.5684375</v>
      </c>
      <c r="C587" s="1" t="n">
        <v>46046</v>
      </c>
      <c r="D587" t="inlineStr">
        <is>
          <t>JÄMTLANDS LÄN</t>
        </is>
      </c>
      <c r="E587" t="inlineStr">
        <is>
          <t>HÄRJEDALEN</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46046</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26448-2025</t>
        </is>
      </c>
      <c r="B589" s="1" t="n">
        <v>45807.41717592593</v>
      </c>
      <c r="C589" s="1" t="n">
        <v>46046</v>
      </c>
      <c r="D589" t="inlineStr">
        <is>
          <t>JÄMTLANDS LÄN</t>
        </is>
      </c>
      <c r="E589" t="inlineStr">
        <is>
          <t>HÄRJEDALEN</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26462-2025</t>
        </is>
      </c>
      <c r="B590" s="1" t="n">
        <v>45807.43461805556</v>
      </c>
      <c r="C590" s="1" t="n">
        <v>46046</v>
      </c>
      <c r="D590" t="inlineStr">
        <is>
          <t>JÄMTLANDS LÄN</t>
        </is>
      </c>
      <c r="E590" t="inlineStr">
        <is>
          <t>HÄRJEDALEN</t>
        </is>
      </c>
      <c r="F590" t="inlineStr">
        <is>
          <t>Holmen skog AB</t>
        </is>
      </c>
      <c r="G590" t="n">
        <v>4</v>
      </c>
      <c r="H590" t="n">
        <v>0</v>
      </c>
      <c r="I590" t="n">
        <v>0</v>
      </c>
      <c r="J590" t="n">
        <v>0</v>
      </c>
      <c r="K590" t="n">
        <v>0</v>
      </c>
      <c r="L590" t="n">
        <v>0</v>
      </c>
      <c r="M590" t="n">
        <v>0</v>
      </c>
      <c r="N590" t="n">
        <v>0</v>
      </c>
      <c r="O590" t="n">
        <v>0</v>
      </c>
      <c r="P590" t="n">
        <v>0</v>
      </c>
      <c r="Q590" t="n">
        <v>0</v>
      </c>
      <c r="R590" s="2" t="inlineStr"/>
    </row>
    <row r="591" ht="15" customHeight="1">
      <c r="A591" t="inlineStr">
        <is>
          <t>A 26464-2025</t>
        </is>
      </c>
      <c r="B591" s="1" t="n">
        <v>45807.44070601852</v>
      </c>
      <c r="C591" s="1" t="n">
        <v>46046</v>
      </c>
      <c r="D591" t="inlineStr">
        <is>
          <t>JÄMTLANDS LÄN</t>
        </is>
      </c>
      <c r="E591" t="inlineStr">
        <is>
          <t>HÄRJEDALEN</t>
        </is>
      </c>
      <c r="F591" t="inlineStr">
        <is>
          <t>Holmen skog AB</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26466-2025</t>
        </is>
      </c>
      <c r="B592" s="1" t="n">
        <v>45807.44608796296</v>
      </c>
      <c r="C592" s="1" t="n">
        <v>46046</v>
      </c>
      <c r="D592" t="inlineStr">
        <is>
          <t>JÄMTLANDS LÄN</t>
        </is>
      </c>
      <c r="E592" t="inlineStr">
        <is>
          <t>HÄRJEDALEN</t>
        </is>
      </c>
      <c r="F592" t="inlineStr">
        <is>
          <t>Holmen skog AB</t>
        </is>
      </c>
      <c r="G592" t="n">
        <v>4</v>
      </c>
      <c r="H592" t="n">
        <v>0</v>
      </c>
      <c r="I592" t="n">
        <v>0</v>
      </c>
      <c r="J592" t="n">
        <v>0</v>
      </c>
      <c r="K592" t="n">
        <v>0</v>
      </c>
      <c r="L592" t="n">
        <v>0</v>
      </c>
      <c r="M592" t="n">
        <v>0</v>
      </c>
      <c r="N592" t="n">
        <v>0</v>
      </c>
      <c r="O592" t="n">
        <v>0</v>
      </c>
      <c r="P592" t="n">
        <v>0</v>
      </c>
      <c r="Q592" t="n">
        <v>0</v>
      </c>
      <c r="R592" s="2" t="inlineStr"/>
    </row>
    <row r="593" ht="15" customHeight="1">
      <c r="A593" t="inlineStr">
        <is>
          <t>A 26496-2025</t>
        </is>
      </c>
      <c r="B593" s="1" t="n">
        <v>45807.49832175926</v>
      </c>
      <c r="C593" s="1" t="n">
        <v>46046</v>
      </c>
      <c r="D593" t="inlineStr">
        <is>
          <t>JÄMTLANDS LÄN</t>
        </is>
      </c>
      <c r="E593" t="inlineStr">
        <is>
          <t>HÄRJEDALEN</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26543-2025</t>
        </is>
      </c>
      <c r="B594" s="1" t="n">
        <v>45807.58868055556</v>
      </c>
      <c r="C594" s="1" t="n">
        <v>46046</v>
      </c>
      <c r="D594" t="inlineStr">
        <is>
          <t>JÄMTLANDS LÄN</t>
        </is>
      </c>
      <c r="E594" t="inlineStr">
        <is>
          <t>HÄRJEDALEN</t>
        </is>
      </c>
      <c r="F594" t="inlineStr">
        <is>
          <t>Holmen skog AB</t>
        </is>
      </c>
      <c r="G594" t="n">
        <v>3.8</v>
      </c>
      <c r="H594" t="n">
        <v>0</v>
      </c>
      <c r="I594" t="n">
        <v>0</v>
      </c>
      <c r="J594" t="n">
        <v>0</v>
      </c>
      <c r="K594" t="n">
        <v>0</v>
      </c>
      <c r="L594" t="n">
        <v>0</v>
      </c>
      <c r="M594" t="n">
        <v>0</v>
      </c>
      <c r="N594" t="n">
        <v>0</v>
      </c>
      <c r="O594" t="n">
        <v>0</v>
      </c>
      <c r="P594" t="n">
        <v>0</v>
      </c>
      <c r="Q594" t="n">
        <v>0</v>
      </c>
      <c r="R594" s="2" t="inlineStr"/>
    </row>
    <row r="595" ht="15" customHeight="1">
      <c r="A595" t="inlineStr">
        <is>
          <t>A 26548-2025</t>
        </is>
      </c>
      <c r="B595" s="1" t="n">
        <v>45807.59407407408</v>
      </c>
      <c r="C595" s="1" t="n">
        <v>46046</v>
      </c>
      <c r="D595" t="inlineStr">
        <is>
          <t>JÄMTLANDS LÄN</t>
        </is>
      </c>
      <c r="E595" t="inlineStr">
        <is>
          <t>HÄRJEDALEN</t>
        </is>
      </c>
      <c r="F595" t="inlineStr">
        <is>
          <t>Holmen skog AB</t>
        </is>
      </c>
      <c r="G595" t="n">
        <v>10.5</v>
      </c>
      <c r="H595" t="n">
        <v>0</v>
      </c>
      <c r="I595" t="n">
        <v>0</v>
      </c>
      <c r="J595" t="n">
        <v>0</v>
      </c>
      <c r="K595" t="n">
        <v>0</v>
      </c>
      <c r="L595" t="n">
        <v>0</v>
      </c>
      <c r="M595" t="n">
        <v>0</v>
      </c>
      <c r="N595" t="n">
        <v>0</v>
      </c>
      <c r="O595" t="n">
        <v>0</v>
      </c>
      <c r="P595" t="n">
        <v>0</v>
      </c>
      <c r="Q595" t="n">
        <v>0</v>
      </c>
      <c r="R595" s="2" t="inlineStr"/>
    </row>
    <row r="596" ht="15" customHeight="1">
      <c r="A596" t="inlineStr">
        <is>
          <t>A 55219-2021</t>
        </is>
      </c>
      <c r="B596" s="1" t="n">
        <v>44475</v>
      </c>
      <c r="C596" s="1" t="n">
        <v>46046</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47765-2024</t>
        </is>
      </c>
      <c r="B597" s="1" t="n">
        <v>45588.56039351852</v>
      </c>
      <c r="C597" s="1" t="n">
        <v>46046</v>
      </c>
      <c r="D597" t="inlineStr">
        <is>
          <t>JÄMTLANDS LÄN</t>
        </is>
      </c>
      <c r="E597" t="inlineStr">
        <is>
          <t>HÄRJEDALEN</t>
        </is>
      </c>
      <c r="G597" t="n">
        <v>53.6</v>
      </c>
      <c r="H597" t="n">
        <v>0</v>
      </c>
      <c r="I597" t="n">
        <v>0</v>
      </c>
      <c r="J597" t="n">
        <v>0</v>
      </c>
      <c r="K597" t="n">
        <v>0</v>
      </c>
      <c r="L597" t="n">
        <v>0</v>
      </c>
      <c r="M597" t="n">
        <v>0</v>
      </c>
      <c r="N597" t="n">
        <v>0</v>
      </c>
      <c r="O597" t="n">
        <v>0</v>
      </c>
      <c r="P597" t="n">
        <v>0</v>
      </c>
      <c r="Q597" t="n">
        <v>0</v>
      </c>
      <c r="R597" s="2" t="inlineStr"/>
    </row>
    <row r="598" ht="15" customHeight="1">
      <c r="A598" t="inlineStr">
        <is>
          <t>A 24494-2024</t>
        </is>
      </c>
      <c r="B598" s="1" t="n">
        <v>45459</v>
      </c>
      <c r="C598" s="1" t="n">
        <v>46046</v>
      </c>
      <c r="D598" t="inlineStr">
        <is>
          <t>JÄMTLANDS LÄN</t>
        </is>
      </c>
      <c r="E598" t="inlineStr">
        <is>
          <t>HÄRJEDALEN</t>
        </is>
      </c>
      <c r="G598" t="n">
        <v>20.1</v>
      </c>
      <c r="H598" t="n">
        <v>0</v>
      </c>
      <c r="I598" t="n">
        <v>0</v>
      </c>
      <c r="J598" t="n">
        <v>0</v>
      </c>
      <c r="K598" t="n">
        <v>0</v>
      </c>
      <c r="L598" t="n">
        <v>0</v>
      </c>
      <c r="M598" t="n">
        <v>0</v>
      </c>
      <c r="N598" t="n">
        <v>0</v>
      </c>
      <c r="O598" t="n">
        <v>0</v>
      </c>
      <c r="P598" t="n">
        <v>0</v>
      </c>
      <c r="Q598" t="n">
        <v>0</v>
      </c>
      <c r="R598" s="2" t="inlineStr"/>
    </row>
    <row r="599" ht="15" customHeight="1">
      <c r="A599" t="inlineStr">
        <is>
          <t>A 62513-2022</t>
        </is>
      </c>
      <c r="B599" s="1" t="n">
        <v>44924.61315972222</v>
      </c>
      <c r="C599" s="1" t="n">
        <v>46046</v>
      </c>
      <c r="D599" t="inlineStr">
        <is>
          <t>JÄMTLANDS LÄN</t>
        </is>
      </c>
      <c r="E599" t="inlineStr">
        <is>
          <t>HÄRJEDALEN</t>
        </is>
      </c>
      <c r="F599" t="inlineStr">
        <is>
          <t>Holmen skog AB</t>
        </is>
      </c>
      <c r="G599" t="n">
        <v>2.2</v>
      </c>
      <c r="H599" t="n">
        <v>0</v>
      </c>
      <c r="I599" t="n">
        <v>0</v>
      </c>
      <c r="J599" t="n">
        <v>0</v>
      </c>
      <c r="K599" t="n">
        <v>0</v>
      </c>
      <c r="L599" t="n">
        <v>0</v>
      </c>
      <c r="M599" t="n">
        <v>0</v>
      </c>
      <c r="N599" t="n">
        <v>0</v>
      </c>
      <c r="O599" t="n">
        <v>0</v>
      </c>
      <c r="P599" t="n">
        <v>0</v>
      </c>
      <c r="Q599" t="n">
        <v>0</v>
      </c>
      <c r="R599" s="2" t="inlineStr"/>
    </row>
    <row r="600" ht="15" customHeight="1">
      <c r="A600" t="inlineStr">
        <is>
          <t>A 10004-2025</t>
        </is>
      </c>
      <c r="B600" s="1" t="n">
        <v>45719.45277777778</v>
      </c>
      <c r="C600" s="1" t="n">
        <v>46046</v>
      </c>
      <c r="D600" t="inlineStr">
        <is>
          <t>JÄMTLANDS LÄN</t>
        </is>
      </c>
      <c r="E600" t="inlineStr">
        <is>
          <t>HÄRJEDALEN</t>
        </is>
      </c>
      <c r="G600" t="n">
        <v>3.4</v>
      </c>
      <c r="H600" t="n">
        <v>0</v>
      </c>
      <c r="I600" t="n">
        <v>0</v>
      </c>
      <c r="J600" t="n">
        <v>0</v>
      </c>
      <c r="K600" t="n">
        <v>0</v>
      </c>
      <c r="L600" t="n">
        <v>0</v>
      </c>
      <c r="M600" t="n">
        <v>0</v>
      </c>
      <c r="N600" t="n">
        <v>0</v>
      </c>
      <c r="O600" t="n">
        <v>0</v>
      </c>
      <c r="P600" t="n">
        <v>0</v>
      </c>
      <c r="Q600" t="n">
        <v>0</v>
      </c>
      <c r="R600" s="2" t="inlineStr"/>
    </row>
    <row r="601" ht="15" customHeight="1">
      <c r="A601" t="inlineStr">
        <is>
          <t>A 46383-2023</t>
        </is>
      </c>
      <c r="B601" s="1" t="n">
        <v>45197.46966435185</v>
      </c>
      <c r="C601" s="1" t="n">
        <v>46046</v>
      </c>
      <c r="D601" t="inlineStr">
        <is>
          <t>JÄMTLANDS LÄN</t>
        </is>
      </c>
      <c r="E601" t="inlineStr">
        <is>
          <t>HÄRJEDALEN</t>
        </is>
      </c>
      <c r="G601" t="n">
        <v>7.6</v>
      </c>
      <c r="H601" t="n">
        <v>0</v>
      </c>
      <c r="I601" t="n">
        <v>0</v>
      </c>
      <c r="J601" t="n">
        <v>0</v>
      </c>
      <c r="K601" t="n">
        <v>0</v>
      </c>
      <c r="L601" t="n">
        <v>0</v>
      </c>
      <c r="M601" t="n">
        <v>0</v>
      </c>
      <c r="N601" t="n">
        <v>0</v>
      </c>
      <c r="O601" t="n">
        <v>0</v>
      </c>
      <c r="P601" t="n">
        <v>0</v>
      </c>
      <c r="Q601" t="n">
        <v>0</v>
      </c>
      <c r="R601" s="2" t="inlineStr"/>
    </row>
    <row r="602" ht="15" customHeight="1">
      <c r="A602" t="inlineStr">
        <is>
          <t>A 51017-2023</t>
        </is>
      </c>
      <c r="B602" s="1" t="n">
        <v>45218.58609953704</v>
      </c>
      <c r="C602" s="1" t="n">
        <v>46046</v>
      </c>
      <c r="D602" t="inlineStr">
        <is>
          <t>JÄMTLANDS LÄN</t>
        </is>
      </c>
      <c r="E602" t="inlineStr">
        <is>
          <t>HÄRJEDALEN</t>
        </is>
      </c>
      <c r="G602" t="n">
        <v>1.4</v>
      </c>
      <c r="H602" t="n">
        <v>0</v>
      </c>
      <c r="I602" t="n">
        <v>0</v>
      </c>
      <c r="J602" t="n">
        <v>0</v>
      </c>
      <c r="K602" t="n">
        <v>0</v>
      </c>
      <c r="L602" t="n">
        <v>0</v>
      </c>
      <c r="M602" t="n">
        <v>0</v>
      </c>
      <c r="N602" t="n">
        <v>0</v>
      </c>
      <c r="O602" t="n">
        <v>0</v>
      </c>
      <c r="P602" t="n">
        <v>0</v>
      </c>
      <c r="Q602" t="n">
        <v>0</v>
      </c>
      <c r="R602" s="2" t="inlineStr"/>
    </row>
    <row r="603" ht="15" customHeight="1">
      <c r="A603" t="inlineStr">
        <is>
          <t>A 1361-2024</t>
        </is>
      </c>
      <c r="B603" s="1" t="n">
        <v>45303.5047337963</v>
      </c>
      <c r="C603" s="1" t="n">
        <v>46046</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11997-2025</t>
        </is>
      </c>
      <c r="B604" s="1" t="n">
        <v>45728.61006944445</v>
      </c>
      <c r="C604" s="1" t="n">
        <v>46046</v>
      </c>
      <c r="D604" t="inlineStr">
        <is>
          <t>JÄMTLANDS LÄN</t>
        </is>
      </c>
      <c r="E604" t="inlineStr">
        <is>
          <t>HÄRJEDALEN</t>
        </is>
      </c>
      <c r="G604" t="n">
        <v>3.2</v>
      </c>
      <c r="H604" t="n">
        <v>0</v>
      </c>
      <c r="I604" t="n">
        <v>0</v>
      </c>
      <c r="J604" t="n">
        <v>0</v>
      </c>
      <c r="K604" t="n">
        <v>0</v>
      </c>
      <c r="L604" t="n">
        <v>0</v>
      </c>
      <c r="M604" t="n">
        <v>0</v>
      </c>
      <c r="N604" t="n">
        <v>0</v>
      </c>
      <c r="O604" t="n">
        <v>0</v>
      </c>
      <c r="P604" t="n">
        <v>0</v>
      </c>
      <c r="Q604" t="n">
        <v>0</v>
      </c>
      <c r="R604" s="2" t="inlineStr"/>
    </row>
    <row r="605" ht="15" customHeight="1">
      <c r="A605" t="inlineStr">
        <is>
          <t>A 26905-2025</t>
        </is>
      </c>
      <c r="B605" s="1" t="n">
        <v>45811.34540509259</v>
      </c>
      <c r="C605" s="1" t="n">
        <v>46046</v>
      </c>
      <c r="D605" t="inlineStr">
        <is>
          <t>JÄMTLANDS LÄN</t>
        </is>
      </c>
      <c r="E605" t="inlineStr">
        <is>
          <t>HÄRJEDALEN</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14837-2025</t>
        </is>
      </c>
      <c r="B606" s="1" t="n">
        <v>45743.38449074074</v>
      </c>
      <c r="C606" s="1" t="n">
        <v>46046</v>
      </c>
      <c r="D606" t="inlineStr">
        <is>
          <t>JÄMTLANDS LÄN</t>
        </is>
      </c>
      <c r="E606" t="inlineStr">
        <is>
          <t>HÄRJEDALEN</t>
        </is>
      </c>
      <c r="G606" t="n">
        <v>7.5</v>
      </c>
      <c r="H606" t="n">
        <v>0</v>
      </c>
      <c r="I606" t="n">
        <v>0</v>
      </c>
      <c r="J606" t="n">
        <v>0</v>
      </c>
      <c r="K606" t="n">
        <v>0</v>
      </c>
      <c r="L606" t="n">
        <v>0</v>
      </c>
      <c r="M606" t="n">
        <v>0</v>
      </c>
      <c r="N606" t="n">
        <v>0</v>
      </c>
      <c r="O606" t="n">
        <v>0</v>
      </c>
      <c r="P606" t="n">
        <v>0</v>
      </c>
      <c r="Q606" t="n">
        <v>0</v>
      </c>
      <c r="R606" s="2" t="inlineStr"/>
    </row>
    <row r="607" ht="15" customHeight="1">
      <c r="A607" t="inlineStr">
        <is>
          <t>A 33096-2024</t>
        </is>
      </c>
      <c r="B607" s="1" t="n">
        <v>45517.69590277778</v>
      </c>
      <c r="C607" s="1" t="n">
        <v>46046</v>
      </c>
      <c r="D607" t="inlineStr">
        <is>
          <t>JÄMTLANDS LÄN</t>
        </is>
      </c>
      <c r="E607" t="inlineStr">
        <is>
          <t>HÄRJEDALEN</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21666-2023</t>
        </is>
      </c>
      <c r="B608" s="1" t="n">
        <v>45063.92605324074</v>
      </c>
      <c r="C608" s="1" t="n">
        <v>46046</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41711-2022</t>
        </is>
      </c>
      <c r="B609" s="1" t="n">
        <v>44827</v>
      </c>
      <c r="C609" s="1" t="n">
        <v>46046</v>
      </c>
      <c r="D609" t="inlineStr">
        <is>
          <t>JÄMTLANDS LÄN</t>
        </is>
      </c>
      <c r="E609" t="inlineStr">
        <is>
          <t>HÄRJEDALEN</t>
        </is>
      </c>
      <c r="G609" t="n">
        <v>18.3</v>
      </c>
      <c r="H609" t="n">
        <v>0</v>
      </c>
      <c r="I609" t="n">
        <v>0</v>
      </c>
      <c r="J609" t="n">
        <v>0</v>
      </c>
      <c r="K609" t="n">
        <v>0</v>
      </c>
      <c r="L609" t="n">
        <v>0</v>
      </c>
      <c r="M609" t="n">
        <v>0</v>
      </c>
      <c r="N609" t="n">
        <v>0</v>
      </c>
      <c r="O609" t="n">
        <v>0</v>
      </c>
      <c r="P609" t="n">
        <v>0</v>
      </c>
      <c r="Q609" t="n">
        <v>0</v>
      </c>
      <c r="R609" s="2" t="inlineStr"/>
    </row>
    <row r="610" ht="15" customHeight="1">
      <c r="A610" t="inlineStr">
        <is>
          <t>A 4225-2025</t>
        </is>
      </c>
      <c r="B610" s="1" t="n">
        <v>45685.5349074074</v>
      </c>
      <c r="C610" s="1" t="n">
        <v>46046</v>
      </c>
      <c r="D610" t="inlineStr">
        <is>
          <t>JÄMTLANDS LÄN</t>
        </is>
      </c>
      <c r="E610" t="inlineStr">
        <is>
          <t>HÄRJEDALEN</t>
        </is>
      </c>
      <c r="F610" t="inlineStr">
        <is>
          <t>Bergvik skog väst AB</t>
        </is>
      </c>
      <c r="G610" t="n">
        <v>13.4</v>
      </c>
      <c r="H610" t="n">
        <v>0</v>
      </c>
      <c r="I610" t="n">
        <v>0</v>
      </c>
      <c r="J610" t="n">
        <v>0</v>
      </c>
      <c r="K610" t="n">
        <v>0</v>
      </c>
      <c r="L610" t="n">
        <v>0</v>
      </c>
      <c r="M610" t="n">
        <v>0</v>
      </c>
      <c r="N610" t="n">
        <v>0</v>
      </c>
      <c r="O610" t="n">
        <v>0</v>
      </c>
      <c r="P610" t="n">
        <v>0</v>
      </c>
      <c r="Q610" t="n">
        <v>0</v>
      </c>
      <c r="R610" s="2" t="inlineStr"/>
    </row>
    <row r="611" ht="15" customHeight="1">
      <c r="A611" t="inlineStr">
        <is>
          <t>A 34627-2022</t>
        </is>
      </c>
      <c r="B611" s="1" t="n">
        <v>44795</v>
      </c>
      <c r="C611" s="1" t="n">
        <v>46046</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44060-2024</t>
        </is>
      </c>
      <c r="B612" s="1" t="n">
        <v>45572.60001157408</v>
      </c>
      <c r="C612" s="1" t="n">
        <v>46046</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30743-2024</t>
        </is>
      </c>
      <c r="B613" s="1" t="n">
        <v>45496.67178240741</v>
      </c>
      <c r="C613" s="1" t="n">
        <v>46046</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59962-2024</t>
        </is>
      </c>
      <c r="B614" s="1" t="n">
        <v>45642.35256944445</v>
      </c>
      <c r="C614" s="1" t="n">
        <v>46046</v>
      </c>
      <c r="D614" t="inlineStr">
        <is>
          <t>JÄMTLANDS LÄN</t>
        </is>
      </c>
      <c r="E614" t="inlineStr">
        <is>
          <t>HÄRJEDALEN</t>
        </is>
      </c>
      <c r="G614" t="n">
        <v>2.4</v>
      </c>
      <c r="H614" t="n">
        <v>0</v>
      </c>
      <c r="I614" t="n">
        <v>0</v>
      </c>
      <c r="J614" t="n">
        <v>0</v>
      </c>
      <c r="K614" t="n">
        <v>0</v>
      </c>
      <c r="L614" t="n">
        <v>0</v>
      </c>
      <c r="M614" t="n">
        <v>0</v>
      </c>
      <c r="N614" t="n">
        <v>0</v>
      </c>
      <c r="O614" t="n">
        <v>0</v>
      </c>
      <c r="P614" t="n">
        <v>0</v>
      </c>
      <c r="Q614" t="n">
        <v>0</v>
      </c>
      <c r="R614" s="2" t="inlineStr"/>
    </row>
    <row r="615" ht="15" customHeight="1">
      <c r="A615" t="inlineStr">
        <is>
          <t>A 43297-2024</t>
        </is>
      </c>
      <c r="B615" s="1" t="n">
        <v>45568</v>
      </c>
      <c r="C615" s="1" t="n">
        <v>46046</v>
      </c>
      <c r="D615" t="inlineStr">
        <is>
          <t>JÄMTLANDS LÄN</t>
        </is>
      </c>
      <c r="E615" t="inlineStr">
        <is>
          <t>HÄRJEDALEN</t>
        </is>
      </c>
      <c r="F615" t="inlineStr">
        <is>
          <t>SCA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4217-2025</t>
        </is>
      </c>
      <c r="B616" s="1" t="n">
        <v>45685.50063657408</v>
      </c>
      <c r="C616" s="1" t="n">
        <v>46046</v>
      </c>
      <c r="D616" t="inlineStr">
        <is>
          <t>JÄMTLANDS LÄN</t>
        </is>
      </c>
      <c r="E616" t="inlineStr">
        <is>
          <t>HÄRJEDALEN</t>
        </is>
      </c>
      <c r="F616" t="inlineStr">
        <is>
          <t>Bergvik skog väst AB</t>
        </is>
      </c>
      <c r="G616" t="n">
        <v>24.6</v>
      </c>
      <c r="H616" t="n">
        <v>0</v>
      </c>
      <c r="I616" t="n">
        <v>0</v>
      </c>
      <c r="J616" t="n">
        <v>0</v>
      </c>
      <c r="K616" t="n">
        <v>0</v>
      </c>
      <c r="L616" t="n">
        <v>0</v>
      </c>
      <c r="M616" t="n">
        <v>0</v>
      </c>
      <c r="N616" t="n">
        <v>0</v>
      </c>
      <c r="O616" t="n">
        <v>0</v>
      </c>
      <c r="P616" t="n">
        <v>0</v>
      </c>
      <c r="Q616" t="n">
        <v>0</v>
      </c>
      <c r="R616" s="2" t="inlineStr"/>
    </row>
    <row r="617" ht="15" customHeight="1">
      <c r="A617" t="inlineStr">
        <is>
          <t>A 30411-2023</t>
        </is>
      </c>
      <c r="B617" s="1" t="n">
        <v>45111</v>
      </c>
      <c r="C617" s="1" t="n">
        <v>46046</v>
      </c>
      <c r="D617" t="inlineStr">
        <is>
          <t>JÄMTLANDS LÄN</t>
        </is>
      </c>
      <c r="E617" t="inlineStr">
        <is>
          <t>HÄRJEDALEN</t>
        </is>
      </c>
      <c r="F617" t="inlineStr">
        <is>
          <t>Bergvik skog väst AB</t>
        </is>
      </c>
      <c r="G617" t="n">
        <v>28.3</v>
      </c>
      <c r="H617" t="n">
        <v>0</v>
      </c>
      <c r="I617" t="n">
        <v>0</v>
      </c>
      <c r="J617" t="n">
        <v>0</v>
      </c>
      <c r="K617" t="n">
        <v>0</v>
      </c>
      <c r="L617" t="n">
        <v>0</v>
      </c>
      <c r="M617" t="n">
        <v>0</v>
      </c>
      <c r="N617" t="n">
        <v>0</v>
      </c>
      <c r="O617" t="n">
        <v>0</v>
      </c>
      <c r="P617" t="n">
        <v>0</v>
      </c>
      <c r="Q617" t="n">
        <v>0</v>
      </c>
      <c r="R617" s="2" t="inlineStr"/>
    </row>
    <row r="618" ht="15" customHeight="1">
      <c r="A618" t="inlineStr">
        <is>
          <t>A 5101-2025</t>
        </is>
      </c>
      <c r="B618" s="1" t="n">
        <v>45691</v>
      </c>
      <c r="C618" s="1" t="n">
        <v>46046</v>
      </c>
      <c r="D618" t="inlineStr">
        <is>
          <t>JÄMTLANDS LÄN</t>
        </is>
      </c>
      <c r="E618" t="inlineStr">
        <is>
          <t>HÄRJEDALEN</t>
        </is>
      </c>
      <c r="F618" t="inlineStr">
        <is>
          <t>Holmen skog AB</t>
        </is>
      </c>
      <c r="G618" t="n">
        <v>33.5</v>
      </c>
      <c r="H618" t="n">
        <v>0</v>
      </c>
      <c r="I618" t="n">
        <v>0</v>
      </c>
      <c r="J618" t="n">
        <v>0</v>
      </c>
      <c r="K618" t="n">
        <v>0</v>
      </c>
      <c r="L618" t="n">
        <v>0</v>
      </c>
      <c r="M618" t="n">
        <v>0</v>
      </c>
      <c r="N618" t="n">
        <v>0</v>
      </c>
      <c r="O618" t="n">
        <v>0</v>
      </c>
      <c r="P618" t="n">
        <v>0</v>
      </c>
      <c r="Q618" t="n">
        <v>0</v>
      </c>
      <c r="R618" s="2" t="inlineStr"/>
    </row>
    <row r="619" ht="15" customHeight="1">
      <c r="A619" t="inlineStr">
        <is>
          <t>A 27565-2025</t>
        </is>
      </c>
      <c r="B619" s="1" t="n">
        <v>45813.48734953703</v>
      </c>
      <c r="C619" s="1" t="n">
        <v>46046</v>
      </c>
      <c r="D619" t="inlineStr">
        <is>
          <t>JÄMTLANDS LÄN</t>
        </is>
      </c>
      <c r="E619" t="inlineStr">
        <is>
          <t>HÄRJEDALEN</t>
        </is>
      </c>
      <c r="G619" t="n">
        <v>2.1</v>
      </c>
      <c r="H619" t="n">
        <v>0</v>
      </c>
      <c r="I619" t="n">
        <v>0</v>
      </c>
      <c r="J619" t="n">
        <v>0</v>
      </c>
      <c r="K619" t="n">
        <v>0</v>
      </c>
      <c r="L619" t="n">
        <v>0</v>
      </c>
      <c r="M619" t="n">
        <v>0</v>
      </c>
      <c r="N619" t="n">
        <v>0</v>
      </c>
      <c r="O619" t="n">
        <v>0</v>
      </c>
      <c r="P619" t="n">
        <v>0</v>
      </c>
      <c r="Q619" t="n">
        <v>0</v>
      </c>
      <c r="R619" s="2" t="inlineStr"/>
    </row>
    <row r="620" ht="15" customHeight="1">
      <c r="A620" t="inlineStr">
        <is>
          <t>A 5113-2025</t>
        </is>
      </c>
      <c r="B620" s="1" t="n">
        <v>45691</v>
      </c>
      <c r="C620" s="1" t="n">
        <v>46046</v>
      </c>
      <c r="D620" t="inlineStr">
        <is>
          <t>JÄMTLANDS LÄN</t>
        </is>
      </c>
      <c r="E620" t="inlineStr">
        <is>
          <t>HÄRJEDALEN</t>
        </is>
      </c>
      <c r="F620" t="inlineStr">
        <is>
          <t>Holmen skog AB</t>
        </is>
      </c>
      <c r="G620" t="n">
        <v>25.9</v>
      </c>
      <c r="H620" t="n">
        <v>0</v>
      </c>
      <c r="I620" t="n">
        <v>0</v>
      </c>
      <c r="J620" t="n">
        <v>0</v>
      </c>
      <c r="K620" t="n">
        <v>0</v>
      </c>
      <c r="L620" t="n">
        <v>0</v>
      </c>
      <c r="M620" t="n">
        <v>0</v>
      </c>
      <c r="N620" t="n">
        <v>0</v>
      </c>
      <c r="O620" t="n">
        <v>0</v>
      </c>
      <c r="P620" t="n">
        <v>0</v>
      </c>
      <c r="Q620" t="n">
        <v>0</v>
      </c>
      <c r="R620" s="2" t="inlineStr"/>
    </row>
    <row r="621" ht="15" customHeight="1">
      <c r="A621" t="inlineStr">
        <is>
          <t>A 27553-2025</t>
        </is>
      </c>
      <c r="B621" s="1" t="n">
        <v>45813.47074074074</v>
      </c>
      <c r="C621" s="1" t="n">
        <v>46046</v>
      </c>
      <c r="D621" t="inlineStr">
        <is>
          <t>JÄMTLANDS LÄN</t>
        </is>
      </c>
      <c r="E621" t="inlineStr">
        <is>
          <t>HÄRJEDALEN</t>
        </is>
      </c>
      <c r="G621" t="n">
        <v>1.4</v>
      </c>
      <c r="H621" t="n">
        <v>0</v>
      </c>
      <c r="I621" t="n">
        <v>0</v>
      </c>
      <c r="J621" t="n">
        <v>0</v>
      </c>
      <c r="K621" t="n">
        <v>0</v>
      </c>
      <c r="L621" t="n">
        <v>0</v>
      </c>
      <c r="M621" t="n">
        <v>0</v>
      </c>
      <c r="N621" t="n">
        <v>0</v>
      </c>
      <c r="O621" t="n">
        <v>0</v>
      </c>
      <c r="P621" t="n">
        <v>0</v>
      </c>
      <c r="Q621" t="n">
        <v>0</v>
      </c>
      <c r="R621" s="2" t="inlineStr"/>
    </row>
    <row r="622" ht="15" customHeight="1">
      <c r="A622" t="inlineStr">
        <is>
          <t>A 18953-2025</t>
        </is>
      </c>
      <c r="B622" s="1" t="n">
        <v>45764</v>
      </c>
      <c r="C622" s="1" t="n">
        <v>46046</v>
      </c>
      <c r="D622" t="inlineStr">
        <is>
          <t>JÄMTLANDS LÄN</t>
        </is>
      </c>
      <c r="E622" t="inlineStr">
        <is>
          <t>HÄRJEDALEN</t>
        </is>
      </c>
      <c r="G622" t="n">
        <v>14.3</v>
      </c>
      <c r="H622" t="n">
        <v>0</v>
      </c>
      <c r="I622" t="n">
        <v>0</v>
      </c>
      <c r="J622" t="n">
        <v>0</v>
      </c>
      <c r="K622" t="n">
        <v>0</v>
      </c>
      <c r="L622" t="n">
        <v>0</v>
      </c>
      <c r="M622" t="n">
        <v>0</v>
      </c>
      <c r="N622" t="n">
        <v>0</v>
      </c>
      <c r="O622" t="n">
        <v>0</v>
      </c>
      <c r="P622" t="n">
        <v>0</v>
      </c>
      <c r="Q622" t="n">
        <v>0</v>
      </c>
      <c r="R622" s="2" t="inlineStr"/>
    </row>
    <row r="623" ht="15" customHeight="1">
      <c r="A623" t="inlineStr">
        <is>
          <t>A 64485-2023</t>
        </is>
      </c>
      <c r="B623" s="1" t="n">
        <v>45280</v>
      </c>
      <c r="C623" s="1" t="n">
        <v>46046</v>
      </c>
      <c r="D623" t="inlineStr">
        <is>
          <t>JÄMTLANDS LÄN</t>
        </is>
      </c>
      <c r="E623" t="inlineStr">
        <is>
          <t>HÄRJEDALEN</t>
        </is>
      </c>
      <c r="G623" t="n">
        <v>21.3</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46046</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16176-2024</t>
        </is>
      </c>
      <c r="B625" s="1" t="n">
        <v>45406.64024305555</v>
      </c>
      <c r="C625" s="1" t="n">
        <v>46046</v>
      </c>
      <c r="D625" t="inlineStr">
        <is>
          <t>JÄMTLANDS LÄN</t>
        </is>
      </c>
      <c r="E625" t="inlineStr">
        <is>
          <t>HÄRJEDALEN</t>
        </is>
      </c>
      <c r="F625" t="inlineStr">
        <is>
          <t>Holmen skog AB</t>
        </is>
      </c>
      <c r="G625" t="n">
        <v>3.4</v>
      </c>
      <c r="H625" t="n">
        <v>0</v>
      </c>
      <c r="I625" t="n">
        <v>0</v>
      </c>
      <c r="J625" t="n">
        <v>0</v>
      </c>
      <c r="K625" t="n">
        <v>0</v>
      </c>
      <c r="L625" t="n">
        <v>0</v>
      </c>
      <c r="M625" t="n">
        <v>0</v>
      </c>
      <c r="N625" t="n">
        <v>0</v>
      </c>
      <c r="O625" t="n">
        <v>0</v>
      </c>
      <c r="P625" t="n">
        <v>0</v>
      </c>
      <c r="Q625" t="n">
        <v>0</v>
      </c>
      <c r="R625" s="2" t="inlineStr"/>
    </row>
    <row r="626" ht="15" customHeight="1">
      <c r="A626" t="inlineStr">
        <is>
          <t>A 27679-2025</t>
        </is>
      </c>
      <c r="B626" s="1" t="n">
        <v>45813.64590277777</v>
      </c>
      <c r="C626" s="1" t="n">
        <v>46046</v>
      </c>
      <c r="D626" t="inlineStr">
        <is>
          <t>JÄMTLANDS LÄN</t>
        </is>
      </c>
      <c r="E626" t="inlineStr">
        <is>
          <t>HÄRJEDALEN</t>
        </is>
      </c>
      <c r="G626" t="n">
        <v>13.9</v>
      </c>
      <c r="H626" t="n">
        <v>0</v>
      </c>
      <c r="I626" t="n">
        <v>0</v>
      </c>
      <c r="J626" t="n">
        <v>0</v>
      </c>
      <c r="K626" t="n">
        <v>0</v>
      </c>
      <c r="L626" t="n">
        <v>0</v>
      </c>
      <c r="M626" t="n">
        <v>0</v>
      </c>
      <c r="N626" t="n">
        <v>0</v>
      </c>
      <c r="O626" t="n">
        <v>0</v>
      </c>
      <c r="P626" t="n">
        <v>0</v>
      </c>
      <c r="Q626" t="n">
        <v>0</v>
      </c>
      <c r="R626" s="2" t="inlineStr"/>
    </row>
    <row r="627" ht="15" customHeight="1">
      <c r="A627" t="inlineStr">
        <is>
          <t>A 14798-2021</t>
        </is>
      </c>
      <c r="B627" s="1" t="n">
        <v>44280</v>
      </c>
      <c r="C627" s="1" t="n">
        <v>46046</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6304-2024</t>
        </is>
      </c>
      <c r="B628" s="1" t="n">
        <v>45338</v>
      </c>
      <c r="C628" s="1" t="n">
        <v>46046</v>
      </c>
      <c r="D628" t="inlineStr">
        <is>
          <t>JÄMTLANDS LÄN</t>
        </is>
      </c>
      <c r="E628" t="inlineStr">
        <is>
          <t>HÄRJEDALEN</t>
        </is>
      </c>
      <c r="F628" t="inlineStr">
        <is>
          <t>Bergvik skog väst AB</t>
        </is>
      </c>
      <c r="G628" t="n">
        <v>23.5</v>
      </c>
      <c r="H628" t="n">
        <v>0</v>
      </c>
      <c r="I628" t="n">
        <v>0</v>
      </c>
      <c r="J628" t="n">
        <v>0</v>
      </c>
      <c r="K628" t="n">
        <v>0</v>
      </c>
      <c r="L628" t="n">
        <v>0</v>
      </c>
      <c r="M628" t="n">
        <v>0</v>
      </c>
      <c r="N628" t="n">
        <v>0</v>
      </c>
      <c r="O628" t="n">
        <v>0</v>
      </c>
      <c r="P628" t="n">
        <v>0</v>
      </c>
      <c r="Q628" t="n">
        <v>0</v>
      </c>
      <c r="R628" s="2" t="inlineStr"/>
    </row>
    <row r="629" ht="15" customHeight="1">
      <c r="A629" t="inlineStr">
        <is>
          <t>A 5630-2024</t>
        </is>
      </c>
      <c r="B629" s="1" t="n">
        <v>45334</v>
      </c>
      <c r="C629" s="1" t="n">
        <v>46046</v>
      </c>
      <c r="D629" t="inlineStr">
        <is>
          <t>JÄMTLANDS LÄN</t>
        </is>
      </c>
      <c r="E629" t="inlineStr">
        <is>
          <t>HÄRJEDALEN</t>
        </is>
      </c>
      <c r="F629" t="inlineStr">
        <is>
          <t>Övriga statliga verk och myndigheter</t>
        </is>
      </c>
      <c r="G629" t="n">
        <v>5.4</v>
      </c>
      <c r="H629" t="n">
        <v>0</v>
      </c>
      <c r="I629" t="n">
        <v>0</v>
      </c>
      <c r="J629" t="n">
        <v>0</v>
      </c>
      <c r="K629" t="n">
        <v>0</v>
      </c>
      <c r="L629" t="n">
        <v>0</v>
      </c>
      <c r="M629" t="n">
        <v>0</v>
      </c>
      <c r="N629" t="n">
        <v>0</v>
      </c>
      <c r="O629" t="n">
        <v>0</v>
      </c>
      <c r="P629" t="n">
        <v>0</v>
      </c>
      <c r="Q629" t="n">
        <v>0</v>
      </c>
      <c r="R629" s="2" t="inlineStr"/>
    </row>
    <row r="630" ht="15" customHeight="1">
      <c r="A630" t="inlineStr">
        <is>
          <t>A 35599-2024</t>
        </is>
      </c>
      <c r="B630" s="1" t="n">
        <v>45531.66196759259</v>
      </c>
      <c r="C630" s="1" t="n">
        <v>46046</v>
      </c>
      <c r="D630" t="inlineStr">
        <is>
          <t>JÄMTLANDS LÄN</t>
        </is>
      </c>
      <c r="E630" t="inlineStr">
        <is>
          <t>HÄRJEDALEN</t>
        </is>
      </c>
      <c r="F630" t="inlineStr">
        <is>
          <t>Bergvik skog väst AB</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34453-2021</t>
        </is>
      </c>
      <c r="B631" s="1" t="n">
        <v>44381</v>
      </c>
      <c r="C631" s="1" t="n">
        <v>46046</v>
      </c>
      <c r="D631" t="inlineStr">
        <is>
          <t>JÄMTLANDS LÄN</t>
        </is>
      </c>
      <c r="E631" t="inlineStr">
        <is>
          <t>HÄRJEDALEN</t>
        </is>
      </c>
      <c r="G631" t="n">
        <v>12.7</v>
      </c>
      <c r="H631" t="n">
        <v>0</v>
      </c>
      <c r="I631" t="n">
        <v>0</v>
      </c>
      <c r="J631" t="n">
        <v>0</v>
      </c>
      <c r="K631" t="n">
        <v>0</v>
      </c>
      <c r="L631" t="n">
        <v>0</v>
      </c>
      <c r="M631" t="n">
        <v>0</v>
      </c>
      <c r="N631" t="n">
        <v>0</v>
      </c>
      <c r="O631" t="n">
        <v>0</v>
      </c>
      <c r="P631" t="n">
        <v>0</v>
      </c>
      <c r="Q631" t="n">
        <v>0</v>
      </c>
      <c r="R631" s="2" t="inlineStr"/>
    </row>
    <row r="632" ht="15" customHeight="1">
      <c r="A632" t="inlineStr">
        <is>
          <t>A 4128-2025</t>
        </is>
      </c>
      <c r="B632" s="1" t="n">
        <v>45685</v>
      </c>
      <c r="C632" s="1" t="n">
        <v>46046</v>
      </c>
      <c r="D632" t="inlineStr">
        <is>
          <t>JÄMTLANDS LÄN</t>
        </is>
      </c>
      <c r="E632" t="inlineStr">
        <is>
          <t>HÄRJEDALEN</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19402-2024</t>
        </is>
      </c>
      <c r="B633" s="1" t="n">
        <v>45429.39</v>
      </c>
      <c r="C633" s="1" t="n">
        <v>46046</v>
      </c>
      <c r="D633" t="inlineStr">
        <is>
          <t>JÄMTLANDS LÄN</t>
        </is>
      </c>
      <c r="E633" t="inlineStr">
        <is>
          <t>HÄRJEDALEN</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31586-2024</t>
        </is>
      </c>
      <c r="B634" s="1" t="n">
        <v>45506.3637962963</v>
      </c>
      <c r="C634" s="1" t="n">
        <v>46046</v>
      </c>
      <c r="D634" t="inlineStr">
        <is>
          <t>JÄMTLANDS LÄN</t>
        </is>
      </c>
      <c r="E634" t="inlineStr">
        <is>
          <t>HÄRJEDALEN</t>
        </is>
      </c>
      <c r="G634" t="n">
        <v>9</v>
      </c>
      <c r="H634" t="n">
        <v>0</v>
      </c>
      <c r="I634" t="n">
        <v>0</v>
      </c>
      <c r="J634" t="n">
        <v>0</v>
      </c>
      <c r="K634" t="n">
        <v>0</v>
      </c>
      <c r="L634" t="n">
        <v>0</v>
      </c>
      <c r="M634" t="n">
        <v>0</v>
      </c>
      <c r="N634" t="n">
        <v>0</v>
      </c>
      <c r="O634" t="n">
        <v>0</v>
      </c>
      <c r="P634" t="n">
        <v>0</v>
      </c>
      <c r="Q634" t="n">
        <v>0</v>
      </c>
      <c r="R634" s="2" t="inlineStr"/>
    </row>
    <row r="635" ht="15" customHeight="1">
      <c r="A635" t="inlineStr">
        <is>
          <t>A 51311-2024</t>
        </is>
      </c>
      <c r="B635" s="1" t="n">
        <v>45604.31657407407</v>
      </c>
      <c r="C635" s="1" t="n">
        <v>46046</v>
      </c>
      <c r="D635" t="inlineStr">
        <is>
          <t>JÄMTLANDS LÄN</t>
        </is>
      </c>
      <c r="E635" t="inlineStr">
        <is>
          <t>HÄRJEDALEN</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50775-2021</t>
        </is>
      </c>
      <c r="B636" s="1" t="n">
        <v>44460.44315972222</v>
      </c>
      <c r="C636" s="1" t="n">
        <v>46046</v>
      </c>
      <c r="D636" t="inlineStr">
        <is>
          <t>JÄMTLANDS LÄN</t>
        </is>
      </c>
      <c r="E636" t="inlineStr">
        <is>
          <t>HÄRJEDALEN</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28408-2024</t>
        </is>
      </c>
      <c r="B637" s="1" t="n">
        <v>45477.62255787037</v>
      </c>
      <c r="C637" s="1" t="n">
        <v>46046</v>
      </c>
      <c r="D637" t="inlineStr">
        <is>
          <t>JÄMTLANDS LÄN</t>
        </is>
      </c>
      <c r="E637" t="inlineStr">
        <is>
          <t>HÄRJEDALEN</t>
        </is>
      </c>
      <c r="F637" t="inlineStr">
        <is>
          <t>Holmen skog AB</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27820-2025</t>
        </is>
      </c>
      <c r="B638" s="1" t="n">
        <v>45817.33819444444</v>
      </c>
      <c r="C638" s="1" t="n">
        <v>46046</v>
      </c>
      <c r="D638" t="inlineStr">
        <is>
          <t>JÄMTLANDS LÄN</t>
        </is>
      </c>
      <c r="E638" t="inlineStr">
        <is>
          <t>HÄRJEDALEN</t>
        </is>
      </c>
      <c r="F638" t="inlineStr">
        <is>
          <t>Övriga statliga verk och myndigheter</t>
        </is>
      </c>
      <c r="G638" t="n">
        <v>42.8</v>
      </c>
      <c r="H638" t="n">
        <v>0</v>
      </c>
      <c r="I638" t="n">
        <v>0</v>
      </c>
      <c r="J638" t="n">
        <v>0</v>
      </c>
      <c r="K638" t="n">
        <v>0</v>
      </c>
      <c r="L638" t="n">
        <v>0</v>
      </c>
      <c r="M638" t="n">
        <v>0</v>
      </c>
      <c r="N638" t="n">
        <v>0</v>
      </c>
      <c r="O638" t="n">
        <v>0</v>
      </c>
      <c r="P638" t="n">
        <v>0</v>
      </c>
      <c r="Q638" t="n">
        <v>0</v>
      </c>
      <c r="R638" s="2" t="inlineStr"/>
    </row>
    <row r="639" ht="15" customHeight="1">
      <c r="A639" t="inlineStr">
        <is>
          <t>A 29536-2024</t>
        </is>
      </c>
      <c r="B639" s="1" t="n">
        <v>45484.48854166667</v>
      </c>
      <c r="C639" s="1" t="n">
        <v>46046</v>
      </c>
      <c r="D639" t="inlineStr">
        <is>
          <t>JÄMTLANDS LÄN</t>
        </is>
      </c>
      <c r="E639" t="inlineStr">
        <is>
          <t>HÄRJEDALEN</t>
        </is>
      </c>
      <c r="F639" t="inlineStr">
        <is>
          <t>Holmen skog AB</t>
        </is>
      </c>
      <c r="G639" t="n">
        <v>25.2</v>
      </c>
      <c r="H639" t="n">
        <v>0</v>
      </c>
      <c r="I639" t="n">
        <v>0</v>
      </c>
      <c r="J639" t="n">
        <v>0</v>
      </c>
      <c r="K639" t="n">
        <v>0</v>
      </c>
      <c r="L639" t="n">
        <v>0</v>
      </c>
      <c r="M639" t="n">
        <v>0</v>
      </c>
      <c r="N639" t="n">
        <v>0</v>
      </c>
      <c r="O639" t="n">
        <v>0</v>
      </c>
      <c r="P639" t="n">
        <v>0</v>
      </c>
      <c r="Q639" t="n">
        <v>0</v>
      </c>
      <c r="R639" s="2" t="inlineStr"/>
    </row>
    <row r="640" ht="15" customHeight="1">
      <c r="A640" t="inlineStr">
        <is>
          <t>A 28026-2025</t>
        </is>
      </c>
      <c r="B640" s="1" t="n">
        <v>45817.62439814815</v>
      </c>
      <c r="C640" s="1" t="n">
        <v>46046</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17896-2025</t>
        </is>
      </c>
      <c r="B641" s="1" t="n">
        <v>45758.69638888889</v>
      </c>
      <c r="C641" s="1" t="n">
        <v>46046</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16283-2024</t>
        </is>
      </c>
      <c r="B642" s="1" t="n">
        <v>45407.36894675926</v>
      </c>
      <c r="C642" s="1" t="n">
        <v>46046</v>
      </c>
      <c r="D642" t="inlineStr">
        <is>
          <t>JÄMTLANDS LÄN</t>
        </is>
      </c>
      <c r="E642" t="inlineStr">
        <is>
          <t>HÄRJEDALEN</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29749-2024</t>
        </is>
      </c>
      <c r="B643" s="1" t="n">
        <v>45485.42287037037</v>
      </c>
      <c r="C643" s="1" t="n">
        <v>46046</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29768-2024</t>
        </is>
      </c>
      <c r="B644" s="1" t="n">
        <v>45485.44258101852</v>
      </c>
      <c r="C644" s="1" t="n">
        <v>46046</v>
      </c>
      <c r="D644" t="inlineStr">
        <is>
          <t>JÄMTLANDS LÄN</t>
        </is>
      </c>
      <c r="E644" t="inlineStr">
        <is>
          <t>HÄRJEDALEN</t>
        </is>
      </c>
      <c r="F644" t="inlineStr">
        <is>
          <t>Holmen skog AB</t>
        </is>
      </c>
      <c r="G644" t="n">
        <v>11.1</v>
      </c>
      <c r="H644" t="n">
        <v>0</v>
      </c>
      <c r="I644" t="n">
        <v>0</v>
      </c>
      <c r="J644" t="n">
        <v>0</v>
      </c>
      <c r="K644" t="n">
        <v>0</v>
      </c>
      <c r="L644" t="n">
        <v>0</v>
      </c>
      <c r="M644" t="n">
        <v>0</v>
      </c>
      <c r="N644" t="n">
        <v>0</v>
      </c>
      <c r="O644" t="n">
        <v>0</v>
      </c>
      <c r="P644" t="n">
        <v>0</v>
      </c>
      <c r="Q644" t="n">
        <v>0</v>
      </c>
      <c r="R644" s="2" t="inlineStr"/>
    </row>
    <row r="645" ht="15" customHeight="1">
      <c r="A645" t="inlineStr">
        <is>
          <t>A 30729-2024</t>
        </is>
      </c>
      <c r="B645" s="1" t="n">
        <v>45496.59202546296</v>
      </c>
      <c r="C645" s="1" t="n">
        <v>46046</v>
      </c>
      <c r="D645" t="inlineStr">
        <is>
          <t>JÄMTLANDS LÄN</t>
        </is>
      </c>
      <c r="E645" t="inlineStr">
        <is>
          <t>HÄRJEDALEN</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31834-2024</t>
        </is>
      </c>
      <c r="B646" s="1" t="n">
        <v>45509.6427662037</v>
      </c>
      <c r="C646" s="1" t="n">
        <v>46046</v>
      </c>
      <c r="D646" t="inlineStr">
        <is>
          <t>JÄMTLANDS LÄN</t>
        </is>
      </c>
      <c r="E646" t="inlineStr">
        <is>
          <t>HÄRJEDALEN</t>
        </is>
      </c>
      <c r="F646" t="inlineStr">
        <is>
          <t>Kommuner</t>
        </is>
      </c>
      <c r="G646" t="n">
        <v>5.2</v>
      </c>
      <c r="H646" t="n">
        <v>0</v>
      </c>
      <c r="I646" t="n">
        <v>0</v>
      </c>
      <c r="J646" t="n">
        <v>0</v>
      </c>
      <c r="K646" t="n">
        <v>0</v>
      </c>
      <c r="L646" t="n">
        <v>0</v>
      </c>
      <c r="M646" t="n">
        <v>0</v>
      </c>
      <c r="N646" t="n">
        <v>0</v>
      </c>
      <c r="O646" t="n">
        <v>0</v>
      </c>
      <c r="P646" t="n">
        <v>0</v>
      </c>
      <c r="Q646" t="n">
        <v>0</v>
      </c>
      <c r="R646" s="2" t="inlineStr"/>
    </row>
    <row r="647" ht="15" customHeight="1">
      <c r="A647" t="inlineStr">
        <is>
          <t>A 57836-2024</t>
        </is>
      </c>
      <c r="B647" s="1" t="n">
        <v>45631.39950231482</v>
      </c>
      <c r="C647" s="1" t="n">
        <v>46046</v>
      </c>
      <c r="D647" t="inlineStr">
        <is>
          <t>JÄMTLANDS LÄN</t>
        </is>
      </c>
      <c r="E647" t="inlineStr">
        <is>
          <t>HÄRJEDALEN</t>
        </is>
      </c>
      <c r="F647" t="inlineStr">
        <is>
          <t>Bergvik skog väst AB</t>
        </is>
      </c>
      <c r="G647" t="n">
        <v>7.5</v>
      </c>
      <c r="H647" t="n">
        <v>0</v>
      </c>
      <c r="I647" t="n">
        <v>0</v>
      </c>
      <c r="J647" t="n">
        <v>0</v>
      </c>
      <c r="K647" t="n">
        <v>0</v>
      </c>
      <c r="L647" t="n">
        <v>0</v>
      </c>
      <c r="M647" t="n">
        <v>0</v>
      </c>
      <c r="N647" t="n">
        <v>0</v>
      </c>
      <c r="O647" t="n">
        <v>0</v>
      </c>
      <c r="P647" t="n">
        <v>0</v>
      </c>
      <c r="Q647" t="n">
        <v>0</v>
      </c>
      <c r="R647" s="2" t="inlineStr"/>
    </row>
    <row r="648" ht="15" customHeight="1">
      <c r="A648" t="inlineStr">
        <is>
          <t>A 54762-2022</t>
        </is>
      </c>
      <c r="B648" s="1" t="n">
        <v>44883</v>
      </c>
      <c r="C648" s="1" t="n">
        <v>46046</v>
      </c>
      <c r="D648" t="inlineStr">
        <is>
          <t>JÄMTLANDS LÄN</t>
        </is>
      </c>
      <c r="E648" t="inlineStr">
        <is>
          <t>HÄRJEDALEN</t>
        </is>
      </c>
      <c r="G648" t="n">
        <v>1.8</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46046</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46046</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1398-2024</t>
        </is>
      </c>
      <c r="B651" s="1" t="n">
        <v>45303</v>
      </c>
      <c r="C651" s="1" t="n">
        <v>46046</v>
      </c>
      <c r="D651" t="inlineStr">
        <is>
          <t>JÄMTLANDS LÄN</t>
        </is>
      </c>
      <c r="E651" t="inlineStr">
        <is>
          <t>HÄRJEDALEN</t>
        </is>
      </c>
      <c r="G651" t="n">
        <v>6</v>
      </c>
      <c r="H651" t="n">
        <v>0</v>
      </c>
      <c r="I651" t="n">
        <v>0</v>
      </c>
      <c r="J651" t="n">
        <v>0</v>
      </c>
      <c r="K651" t="n">
        <v>0</v>
      </c>
      <c r="L651" t="n">
        <v>0</v>
      </c>
      <c r="M651" t="n">
        <v>0</v>
      </c>
      <c r="N651" t="n">
        <v>0</v>
      </c>
      <c r="O651" t="n">
        <v>0</v>
      </c>
      <c r="P651" t="n">
        <v>0</v>
      </c>
      <c r="Q651" t="n">
        <v>0</v>
      </c>
      <c r="R651" s="2" t="inlineStr"/>
    </row>
    <row r="652" ht="15" customHeight="1">
      <c r="A652" t="inlineStr">
        <is>
          <t>A 37054-2024</t>
        </is>
      </c>
      <c r="B652" s="1" t="n">
        <v>45539.43545138889</v>
      </c>
      <c r="C652" s="1" t="n">
        <v>46046</v>
      </c>
      <c r="D652" t="inlineStr">
        <is>
          <t>JÄMTLANDS LÄN</t>
        </is>
      </c>
      <c r="E652" t="inlineStr">
        <is>
          <t>HÄRJEDALEN</t>
        </is>
      </c>
      <c r="G652" t="n">
        <v>1.8</v>
      </c>
      <c r="H652" t="n">
        <v>0</v>
      </c>
      <c r="I652" t="n">
        <v>0</v>
      </c>
      <c r="J652" t="n">
        <v>0</v>
      </c>
      <c r="K652" t="n">
        <v>0</v>
      </c>
      <c r="L652" t="n">
        <v>0</v>
      </c>
      <c r="M652" t="n">
        <v>0</v>
      </c>
      <c r="N652" t="n">
        <v>0</v>
      </c>
      <c r="O652" t="n">
        <v>0</v>
      </c>
      <c r="P652" t="n">
        <v>0</v>
      </c>
      <c r="Q652" t="n">
        <v>0</v>
      </c>
      <c r="R652" s="2" t="inlineStr"/>
    </row>
    <row r="653" ht="15" customHeight="1">
      <c r="A653" t="inlineStr">
        <is>
          <t>A 20935-2023</t>
        </is>
      </c>
      <c r="B653" s="1" t="n">
        <v>45061.36835648148</v>
      </c>
      <c r="C653" s="1" t="n">
        <v>46046</v>
      </c>
      <c r="D653" t="inlineStr">
        <is>
          <t>JÄMTLANDS LÄN</t>
        </is>
      </c>
      <c r="E653" t="inlineStr">
        <is>
          <t>HÄRJEDALEN</t>
        </is>
      </c>
      <c r="G653" t="n">
        <v>7.3</v>
      </c>
      <c r="H653" t="n">
        <v>0</v>
      </c>
      <c r="I653" t="n">
        <v>0</v>
      </c>
      <c r="J653" t="n">
        <v>0</v>
      </c>
      <c r="K653" t="n">
        <v>0</v>
      </c>
      <c r="L653" t="n">
        <v>0</v>
      </c>
      <c r="M653" t="n">
        <v>0</v>
      </c>
      <c r="N653" t="n">
        <v>0</v>
      </c>
      <c r="O653" t="n">
        <v>0</v>
      </c>
      <c r="P653" t="n">
        <v>0</v>
      </c>
      <c r="Q653" t="n">
        <v>0</v>
      </c>
      <c r="R653" s="2" t="inlineStr"/>
    </row>
    <row r="654" ht="15" customHeight="1">
      <c r="A654" t="inlineStr">
        <is>
          <t>A 24834-2022</t>
        </is>
      </c>
      <c r="B654" s="1" t="n">
        <v>44728</v>
      </c>
      <c r="C654" s="1" t="n">
        <v>46046</v>
      </c>
      <c r="D654" t="inlineStr">
        <is>
          <t>JÄMTLANDS LÄN</t>
        </is>
      </c>
      <c r="E654" t="inlineStr">
        <is>
          <t>HÄRJEDALEN</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7311-2024</t>
        </is>
      </c>
      <c r="B655" s="1" t="n">
        <v>45345.34219907408</v>
      </c>
      <c r="C655" s="1" t="n">
        <v>46046</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7362-2024</t>
        </is>
      </c>
      <c r="B656" s="1" t="n">
        <v>45345.47642361111</v>
      </c>
      <c r="C656" s="1" t="n">
        <v>46046</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29102-2025</t>
        </is>
      </c>
      <c r="B657" s="1" t="n">
        <v>45821.57201388889</v>
      </c>
      <c r="C657" s="1" t="n">
        <v>46046</v>
      </c>
      <c r="D657" t="inlineStr">
        <is>
          <t>JÄMTLANDS LÄN</t>
        </is>
      </c>
      <c r="E657" t="inlineStr">
        <is>
          <t>HÄRJEDALEN</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51322-2024</t>
        </is>
      </c>
      <c r="B658" s="1" t="n">
        <v>45604.33195601852</v>
      </c>
      <c r="C658" s="1" t="n">
        <v>46046</v>
      </c>
      <c r="D658" t="inlineStr">
        <is>
          <t>JÄMTLANDS LÄN</t>
        </is>
      </c>
      <c r="E658" t="inlineStr">
        <is>
          <t>HÄRJEDALEN</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44955-2024</t>
        </is>
      </c>
      <c r="B659" s="1" t="n">
        <v>45575</v>
      </c>
      <c r="C659" s="1" t="n">
        <v>46046</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51191-2024</t>
        </is>
      </c>
      <c r="B660" s="1" t="n">
        <v>45603</v>
      </c>
      <c r="C660" s="1" t="n">
        <v>46046</v>
      </c>
      <c r="D660" t="inlineStr">
        <is>
          <t>JÄMTLANDS LÄN</t>
        </is>
      </c>
      <c r="E660" t="inlineStr">
        <is>
          <t>HÄRJEDALEN</t>
        </is>
      </c>
      <c r="F660" t="inlineStr">
        <is>
          <t>Holmen skog AB</t>
        </is>
      </c>
      <c r="G660" t="n">
        <v>9.1</v>
      </c>
      <c r="H660" t="n">
        <v>0</v>
      </c>
      <c r="I660" t="n">
        <v>0</v>
      </c>
      <c r="J660" t="n">
        <v>0</v>
      </c>
      <c r="K660" t="n">
        <v>0</v>
      </c>
      <c r="L660" t="n">
        <v>0</v>
      </c>
      <c r="M660" t="n">
        <v>0</v>
      </c>
      <c r="N660" t="n">
        <v>0</v>
      </c>
      <c r="O660" t="n">
        <v>0</v>
      </c>
      <c r="P660" t="n">
        <v>0</v>
      </c>
      <c r="Q660" t="n">
        <v>0</v>
      </c>
      <c r="R660" s="2" t="inlineStr"/>
    </row>
    <row r="661" ht="15" customHeight="1">
      <c r="A661" t="inlineStr">
        <is>
          <t>A 27812-2023</t>
        </is>
      </c>
      <c r="B661" s="1" t="n">
        <v>45098.48666666666</v>
      </c>
      <c r="C661" s="1" t="n">
        <v>46046</v>
      </c>
      <c r="D661" t="inlineStr">
        <is>
          <t>JÄMTLANDS LÄN</t>
        </is>
      </c>
      <c r="E661" t="inlineStr">
        <is>
          <t>HÄRJEDALEN</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31961-2023</t>
        </is>
      </c>
      <c r="B662" s="1" t="n">
        <v>45119</v>
      </c>
      <c r="C662" s="1" t="n">
        <v>46046</v>
      </c>
      <c r="D662" t="inlineStr">
        <is>
          <t>JÄMTLANDS LÄN</t>
        </is>
      </c>
      <c r="E662" t="inlineStr">
        <is>
          <t>HÄRJEDALEN</t>
        </is>
      </c>
      <c r="G662" t="n">
        <v>3.1</v>
      </c>
      <c r="H662" t="n">
        <v>0</v>
      </c>
      <c r="I662" t="n">
        <v>0</v>
      </c>
      <c r="J662" t="n">
        <v>0</v>
      </c>
      <c r="K662" t="n">
        <v>0</v>
      </c>
      <c r="L662" t="n">
        <v>0</v>
      </c>
      <c r="M662" t="n">
        <v>0</v>
      </c>
      <c r="N662" t="n">
        <v>0</v>
      </c>
      <c r="O662" t="n">
        <v>0</v>
      </c>
      <c r="P662" t="n">
        <v>0</v>
      </c>
      <c r="Q662" t="n">
        <v>0</v>
      </c>
      <c r="R662" s="2" t="inlineStr"/>
    </row>
    <row r="663" ht="15" customHeight="1">
      <c r="A663" t="inlineStr">
        <is>
          <t>A 9980-2025</t>
        </is>
      </c>
      <c r="B663" s="1" t="n">
        <v>45719.40480324074</v>
      </c>
      <c r="C663" s="1" t="n">
        <v>46046</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38840-2024</t>
        </is>
      </c>
      <c r="B664" s="1" t="n">
        <v>45547.59543981482</v>
      </c>
      <c r="C664" s="1" t="n">
        <v>46046</v>
      </c>
      <c r="D664" t="inlineStr">
        <is>
          <t>JÄMTLANDS LÄN</t>
        </is>
      </c>
      <c r="E664" t="inlineStr">
        <is>
          <t>HÄRJEDALEN</t>
        </is>
      </c>
      <c r="G664" t="n">
        <v>4.1</v>
      </c>
      <c r="H664" t="n">
        <v>0</v>
      </c>
      <c r="I664" t="n">
        <v>0</v>
      </c>
      <c r="J664" t="n">
        <v>0</v>
      </c>
      <c r="K664" t="n">
        <v>0</v>
      </c>
      <c r="L664" t="n">
        <v>0</v>
      </c>
      <c r="M664" t="n">
        <v>0</v>
      </c>
      <c r="N664" t="n">
        <v>0</v>
      </c>
      <c r="O664" t="n">
        <v>0</v>
      </c>
      <c r="P664" t="n">
        <v>0</v>
      </c>
      <c r="Q664" t="n">
        <v>0</v>
      </c>
      <c r="R664" s="2" t="inlineStr"/>
    </row>
    <row r="665" ht="15" customHeight="1">
      <c r="A665" t="inlineStr">
        <is>
          <t>A 18659-2023</t>
        </is>
      </c>
      <c r="B665" s="1" t="n">
        <v>45041</v>
      </c>
      <c r="C665" s="1" t="n">
        <v>46046</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54682-2024</t>
        </is>
      </c>
      <c r="B666" s="1" t="n">
        <v>45618</v>
      </c>
      <c r="C666" s="1" t="n">
        <v>46046</v>
      </c>
      <c r="D666" t="inlineStr">
        <is>
          <t>JÄMTLANDS LÄN</t>
        </is>
      </c>
      <c r="E666" t="inlineStr">
        <is>
          <t>HÄRJEDALEN</t>
        </is>
      </c>
      <c r="G666" t="n">
        <v>14.2</v>
      </c>
      <c r="H666" t="n">
        <v>0</v>
      </c>
      <c r="I666" t="n">
        <v>0</v>
      </c>
      <c r="J666" t="n">
        <v>0</v>
      </c>
      <c r="K666" t="n">
        <v>0</v>
      </c>
      <c r="L666" t="n">
        <v>0</v>
      </c>
      <c r="M666" t="n">
        <v>0</v>
      </c>
      <c r="N666" t="n">
        <v>0</v>
      </c>
      <c r="O666" t="n">
        <v>0</v>
      </c>
      <c r="P666" t="n">
        <v>0</v>
      </c>
      <c r="Q666" t="n">
        <v>0</v>
      </c>
      <c r="R666" s="2" t="inlineStr"/>
    </row>
    <row r="667" ht="15" customHeight="1">
      <c r="A667" t="inlineStr">
        <is>
          <t>A 2935-2025</t>
        </is>
      </c>
      <c r="B667" s="1" t="n">
        <v>45678.37956018518</v>
      </c>
      <c r="C667" s="1" t="n">
        <v>46046</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35726-2024</t>
        </is>
      </c>
      <c r="B668" s="1" t="n">
        <v>45532</v>
      </c>
      <c r="C668" s="1" t="n">
        <v>46046</v>
      </c>
      <c r="D668" t="inlineStr">
        <is>
          <t>JÄMTLANDS LÄN</t>
        </is>
      </c>
      <c r="E668" t="inlineStr">
        <is>
          <t>HÄRJEDALEN</t>
        </is>
      </c>
      <c r="G668" t="n">
        <v>14.3</v>
      </c>
      <c r="H668" t="n">
        <v>0</v>
      </c>
      <c r="I668" t="n">
        <v>0</v>
      </c>
      <c r="J668" t="n">
        <v>0</v>
      </c>
      <c r="K668" t="n">
        <v>0</v>
      </c>
      <c r="L668" t="n">
        <v>0</v>
      </c>
      <c r="M668" t="n">
        <v>0</v>
      </c>
      <c r="N668" t="n">
        <v>0</v>
      </c>
      <c r="O668" t="n">
        <v>0</v>
      </c>
      <c r="P668" t="n">
        <v>0</v>
      </c>
      <c r="Q668" t="n">
        <v>0</v>
      </c>
      <c r="R668" s="2" t="inlineStr"/>
    </row>
    <row r="669" ht="15" customHeight="1">
      <c r="A669" t="inlineStr">
        <is>
          <t>A 10348-2023</t>
        </is>
      </c>
      <c r="B669" s="1" t="n">
        <v>44987.35637731481</v>
      </c>
      <c r="C669" s="1" t="n">
        <v>46046</v>
      </c>
      <c r="D669" t="inlineStr">
        <is>
          <t>JÄMTLANDS LÄN</t>
        </is>
      </c>
      <c r="E669" t="inlineStr">
        <is>
          <t>HÄRJEDALEN</t>
        </is>
      </c>
      <c r="F669" t="inlineStr">
        <is>
          <t>Holmen skog AB</t>
        </is>
      </c>
      <c r="G669" t="n">
        <v>17.8</v>
      </c>
      <c r="H669" t="n">
        <v>0</v>
      </c>
      <c r="I669" t="n">
        <v>0</v>
      </c>
      <c r="J669" t="n">
        <v>0</v>
      </c>
      <c r="K669" t="n">
        <v>0</v>
      </c>
      <c r="L669" t="n">
        <v>0</v>
      </c>
      <c r="M669" t="n">
        <v>0</v>
      </c>
      <c r="N669" t="n">
        <v>0</v>
      </c>
      <c r="O669" t="n">
        <v>0</v>
      </c>
      <c r="P669" t="n">
        <v>0</v>
      </c>
      <c r="Q669" t="n">
        <v>0</v>
      </c>
      <c r="R669" s="2" t="inlineStr"/>
    </row>
    <row r="670" ht="15" customHeight="1">
      <c r="A670" t="inlineStr">
        <is>
          <t>A 10353-2023</t>
        </is>
      </c>
      <c r="B670" s="1" t="n">
        <v>44987</v>
      </c>
      <c r="C670" s="1" t="n">
        <v>46046</v>
      </c>
      <c r="D670" t="inlineStr">
        <is>
          <t>JÄMTLANDS LÄN</t>
        </is>
      </c>
      <c r="E670" t="inlineStr">
        <is>
          <t>HÄRJEDALEN</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29187-2025</t>
        </is>
      </c>
      <c r="B671" s="1" t="n">
        <v>45821.77903935185</v>
      </c>
      <c r="C671" s="1" t="n">
        <v>46046</v>
      </c>
      <c r="D671" t="inlineStr">
        <is>
          <t>JÄMTLANDS LÄN</t>
        </is>
      </c>
      <c r="E671" t="inlineStr">
        <is>
          <t>HÄRJEDALEN</t>
        </is>
      </c>
      <c r="G671" t="n">
        <v>7.5</v>
      </c>
      <c r="H671" t="n">
        <v>0</v>
      </c>
      <c r="I671" t="n">
        <v>0</v>
      </c>
      <c r="J671" t="n">
        <v>0</v>
      </c>
      <c r="K671" t="n">
        <v>0</v>
      </c>
      <c r="L671" t="n">
        <v>0</v>
      </c>
      <c r="M671" t="n">
        <v>0</v>
      </c>
      <c r="N671" t="n">
        <v>0</v>
      </c>
      <c r="O671" t="n">
        <v>0</v>
      </c>
      <c r="P671" t="n">
        <v>0</v>
      </c>
      <c r="Q671" t="n">
        <v>0</v>
      </c>
      <c r="R671" s="2" t="inlineStr"/>
    </row>
    <row r="672" ht="15" customHeight="1">
      <c r="A672" t="inlineStr">
        <is>
          <t>A 62134-2024</t>
        </is>
      </c>
      <c r="B672" s="1" t="n">
        <v>45646</v>
      </c>
      <c r="C672" s="1" t="n">
        <v>46046</v>
      </c>
      <c r="D672" t="inlineStr">
        <is>
          <t>JÄMTLANDS LÄN</t>
        </is>
      </c>
      <c r="E672" t="inlineStr">
        <is>
          <t>HÄRJEDALEN</t>
        </is>
      </c>
      <c r="G672" t="n">
        <v>13.1</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46046</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46046</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28627-2024</t>
        </is>
      </c>
      <c r="B675" s="1" t="n">
        <v>45478.44497685185</v>
      </c>
      <c r="C675" s="1" t="n">
        <v>46046</v>
      </c>
      <c r="D675" t="inlineStr">
        <is>
          <t>JÄMTLANDS LÄN</t>
        </is>
      </c>
      <c r="E675" t="inlineStr">
        <is>
          <t>HÄRJEDALEN</t>
        </is>
      </c>
      <c r="F675" t="inlineStr">
        <is>
          <t>Bergvik skog väst AB</t>
        </is>
      </c>
      <c r="G675" t="n">
        <v>0.2</v>
      </c>
      <c r="H675" t="n">
        <v>0</v>
      </c>
      <c r="I675" t="n">
        <v>0</v>
      </c>
      <c r="J675" t="n">
        <v>0</v>
      </c>
      <c r="K675" t="n">
        <v>0</v>
      </c>
      <c r="L675" t="n">
        <v>0</v>
      </c>
      <c r="M675" t="n">
        <v>0</v>
      </c>
      <c r="N675" t="n">
        <v>0</v>
      </c>
      <c r="O675" t="n">
        <v>0</v>
      </c>
      <c r="P675" t="n">
        <v>0</v>
      </c>
      <c r="Q675" t="n">
        <v>0</v>
      </c>
      <c r="R675" s="2" t="inlineStr"/>
    </row>
    <row r="676" ht="15" customHeight="1">
      <c r="A676" t="inlineStr">
        <is>
          <t>A 28930-2024</t>
        </is>
      </c>
      <c r="B676" s="1" t="n">
        <v>45481.3330787037</v>
      </c>
      <c r="C676" s="1" t="n">
        <v>46046</v>
      </c>
      <c r="D676" t="inlineStr">
        <is>
          <t>JÄMTLANDS LÄN</t>
        </is>
      </c>
      <c r="E676" t="inlineStr">
        <is>
          <t>HÄRJEDALEN</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1366-2024</t>
        </is>
      </c>
      <c r="B677" s="1" t="n">
        <v>45303.52626157407</v>
      </c>
      <c r="C677" s="1" t="n">
        <v>46046</v>
      </c>
      <c r="D677" t="inlineStr">
        <is>
          <t>JÄMTLANDS LÄN</t>
        </is>
      </c>
      <c r="E677" t="inlineStr">
        <is>
          <t>HÄRJEDALEN</t>
        </is>
      </c>
      <c r="G677" t="n">
        <v>7.5</v>
      </c>
      <c r="H677" t="n">
        <v>0</v>
      </c>
      <c r="I677" t="n">
        <v>0</v>
      </c>
      <c r="J677" t="n">
        <v>0</v>
      </c>
      <c r="K677" t="n">
        <v>0</v>
      </c>
      <c r="L677" t="n">
        <v>0</v>
      </c>
      <c r="M677" t="n">
        <v>0</v>
      </c>
      <c r="N677" t="n">
        <v>0</v>
      </c>
      <c r="O677" t="n">
        <v>0</v>
      </c>
      <c r="P677" t="n">
        <v>0</v>
      </c>
      <c r="Q677" t="n">
        <v>0</v>
      </c>
      <c r="R677" s="2" t="inlineStr"/>
    </row>
    <row r="678" ht="15" customHeight="1">
      <c r="A678" t="inlineStr">
        <is>
          <t>A 50544-2024</t>
        </is>
      </c>
      <c r="B678" s="1" t="n">
        <v>45601.58355324074</v>
      </c>
      <c r="C678" s="1" t="n">
        <v>46046</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31956-2023</t>
        </is>
      </c>
      <c r="B679" s="1" t="n">
        <v>45119.38151620371</v>
      </c>
      <c r="C679" s="1" t="n">
        <v>46046</v>
      </c>
      <c r="D679" t="inlineStr">
        <is>
          <t>JÄMTLANDS LÄN</t>
        </is>
      </c>
      <c r="E679" t="inlineStr">
        <is>
          <t>HÄRJEDALEN</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30251-2025</t>
        </is>
      </c>
      <c r="B680" s="1" t="n">
        <v>45827.41753472222</v>
      </c>
      <c r="C680" s="1" t="n">
        <v>46046</v>
      </c>
      <c r="D680" t="inlineStr">
        <is>
          <t>JÄMTLANDS LÄN</t>
        </is>
      </c>
      <c r="E680" t="inlineStr">
        <is>
          <t>HÄRJEDALEN</t>
        </is>
      </c>
      <c r="F680" t="inlineStr">
        <is>
          <t>Bergvik skog väst AB</t>
        </is>
      </c>
      <c r="G680" t="n">
        <v>32.1</v>
      </c>
      <c r="H680" t="n">
        <v>0</v>
      </c>
      <c r="I680" t="n">
        <v>0</v>
      </c>
      <c r="J680" t="n">
        <v>0</v>
      </c>
      <c r="K680" t="n">
        <v>0</v>
      </c>
      <c r="L680" t="n">
        <v>0</v>
      </c>
      <c r="M680" t="n">
        <v>0</v>
      </c>
      <c r="N680" t="n">
        <v>0</v>
      </c>
      <c r="O680" t="n">
        <v>0</v>
      </c>
      <c r="P680" t="n">
        <v>0</v>
      </c>
      <c r="Q680" t="n">
        <v>0</v>
      </c>
      <c r="R680" s="2" t="inlineStr"/>
    </row>
    <row r="681" ht="15" customHeight="1">
      <c r="A681" t="inlineStr">
        <is>
          <t>A 21054-2023</t>
        </is>
      </c>
      <c r="B681" s="1" t="n">
        <v>45061.61002314815</v>
      </c>
      <c r="C681" s="1" t="n">
        <v>46046</v>
      </c>
      <c r="D681" t="inlineStr">
        <is>
          <t>JÄMTLANDS LÄN</t>
        </is>
      </c>
      <c r="E681" t="inlineStr">
        <is>
          <t>HÄRJEDALEN</t>
        </is>
      </c>
      <c r="F681" t="inlineStr">
        <is>
          <t>Sveaskog</t>
        </is>
      </c>
      <c r="G681" t="n">
        <v>0.3</v>
      </c>
      <c r="H681" t="n">
        <v>0</v>
      </c>
      <c r="I681" t="n">
        <v>0</v>
      </c>
      <c r="J681" t="n">
        <v>0</v>
      </c>
      <c r="K681" t="n">
        <v>0</v>
      </c>
      <c r="L681" t="n">
        <v>0</v>
      </c>
      <c r="M681" t="n">
        <v>0</v>
      </c>
      <c r="N681" t="n">
        <v>0</v>
      </c>
      <c r="O681" t="n">
        <v>0</v>
      </c>
      <c r="P681" t="n">
        <v>0</v>
      </c>
      <c r="Q681" t="n">
        <v>0</v>
      </c>
      <c r="R681" s="2" t="inlineStr"/>
    </row>
    <row r="682" ht="15" customHeight="1">
      <c r="A682" t="inlineStr">
        <is>
          <t>A 29927-2025</t>
        </is>
      </c>
      <c r="B682" s="1" t="n">
        <v>45826.43267361111</v>
      </c>
      <c r="C682" s="1" t="n">
        <v>46046</v>
      </c>
      <c r="D682" t="inlineStr">
        <is>
          <t>JÄMTLANDS LÄN</t>
        </is>
      </c>
      <c r="E682" t="inlineStr">
        <is>
          <t>HÄRJEDALEN</t>
        </is>
      </c>
      <c r="F682" t="inlineStr">
        <is>
          <t>Bergvik skog väst AB</t>
        </is>
      </c>
      <c r="G682" t="n">
        <v>12.8</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46046</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30744-2024</t>
        </is>
      </c>
      <c r="B684" s="1" t="n">
        <v>45496.67342592592</v>
      </c>
      <c r="C684" s="1" t="n">
        <v>46046</v>
      </c>
      <c r="D684" t="inlineStr">
        <is>
          <t>JÄMTLANDS LÄN</t>
        </is>
      </c>
      <c r="E684" t="inlineStr">
        <is>
          <t>HÄRJEDALEN</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30363-2025</t>
        </is>
      </c>
      <c r="B685" s="1" t="n">
        <v>45827</v>
      </c>
      <c r="C685" s="1" t="n">
        <v>46046</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60611-2023</t>
        </is>
      </c>
      <c r="B686" s="1" t="n">
        <v>45260.35777777778</v>
      </c>
      <c r="C686" s="1" t="n">
        <v>46046</v>
      </c>
      <c r="D686" t="inlineStr">
        <is>
          <t>JÄMTLANDS LÄN</t>
        </is>
      </c>
      <c r="E686" t="inlineStr">
        <is>
          <t>HÄRJEDALEN</t>
        </is>
      </c>
      <c r="G686" t="n">
        <v>7.2</v>
      </c>
      <c r="H686" t="n">
        <v>0</v>
      </c>
      <c r="I686" t="n">
        <v>0</v>
      </c>
      <c r="J686" t="n">
        <v>0</v>
      </c>
      <c r="K686" t="n">
        <v>0</v>
      </c>
      <c r="L686" t="n">
        <v>0</v>
      </c>
      <c r="M686" t="n">
        <v>0</v>
      </c>
      <c r="N686" t="n">
        <v>0</v>
      </c>
      <c r="O686" t="n">
        <v>0</v>
      </c>
      <c r="P686" t="n">
        <v>0</v>
      </c>
      <c r="Q686" t="n">
        <v>0</v>
      </c>
      <c r="R686" s="2" t="inlineStr"/>
    </row>
    <row r="687" ht="15" customHeight="1">
      <c r="A687" t="inlineStr">
        <is>
          <t>A 23446-2025</t>
        </is>
      </c>
      <c r="B687" s="1" t="n">
        <v>45791</v>
      </c>
      <c r="C687" s="1" t="n">
        <v>46046</v>
      </c>
      <c r="D687" t="inlineStr">
        <is>
          <t>JÄMTLANDS LÄN</t>
        </is>
      </c>
      <c r="E687" t="inlineStr">
        <is>
          <t>HÄRJEDALEN</t>
        </is>
      </c>
      <c r="G687" t="n">
        <v>20.5</v>
      </c>
      <c r="H687" t="n">
        <v>0</v>
      </c>
      <c r="I687" t="n">
        <v>0</v>
      </c>
      <c r="J687" t="n">
        <v>0</v>
      </c>
      <c r="K687" t="n">
        <v>0</v>
      </c>
      <c r="L687" t="n">
        <v>0</v>
      </c>
      <c r="M687" t="n">
        <v>0</v>
      </c>
      <c r="N687" t="n">
        <v>0</v>
      </c>
      <c r="O687" t="n">
        <v>0</v>
      </c>
      <c r="P687" t="n">
        <v>0</v>
      </c>
      <c r="Q687" t="n">
        <v>0</v>
      </c>
      <c r="R687" s="2" t="inlineStr"/>
    </row>
    <row r="688" ht="15" customHeight="1">
      <c r="A688" t="inlineStr">
        <is>
          <t>A 29-2023</t>
        </is>
      </c>
      <c r="B688" s="1" t="n">
        <v>44928</v>
      </c>
      <c r="C688" s="1" t="n">
        <v>46046</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103-2023</t>
        </is>
      </c>
      <c r="B689" s="1" t="n">
        <v>44928</v>
      </c>
      <c r="C689" s="1" t="n">
        <v>46046</v>
      </c>
      <c r="D689" t="inlineStr">
        <is>
          <t>JÄMTLANDS LÄN</t>
        </is>
      </c>
      <c r="E689" t="inlineStr">
        <is>
          <t>HÄRJEDALEN</t>
        </is>
      </c>
      <c r="F689" t="inlineStr">
        <is>
          <t>Holmen skog AB</t>
        </is>
      </c>
      <c r="G689" t="n">
        <v>6.9</v>
      </c>
      <c r="H689" t="n">
        <v>0</v>
      </c>
      <c r="I689" t="n">
        <v>0</v>
      </c>
      <c r="J689" t="n">
        <v>0</v>
      </c>
      <c r="K689" t="n">
        <v>0</v>
      </c>
      <c r="L689" t="n">
        <v>0</v>
      </c>
      <c r="M689" t="n">
        <v>0</v>
      </c>
      <c r="N689" t="n">
        <v>0</v>
      </c>
      <c r="O689" t="n">
        <v>0</v>
      </c>
      <c r="P689" t="n">
        <v>0</v>
      </c>
      <c r="Q689" t="n">
        <v>0</v>
      </c>
      <c r="R689" s="2" t="inlineStr"/>
    </row>
    <row r="690" ht="15" customHeight="1">
      <c r="A690" t="inlineStr">
        <is>
          <t>A 30255-2025</t>
        </is>
      </c>
      <c r="B690" s="1" t="n">
        <v>45827.42467592593</v>
      </c>
      <c r="C690" s="1" t="n">
        <v>46046</v>
      </c>
      <c r="D690" t="inlineStr">
        <is>
          <t>JÄMTLANDS LÄN</t>
        </is>
      </c>
      <c r="E690" t="inlineStr">
        <is>
          <t>HÄRJEDALEN</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41766-2022</t>
        </is>
      </c>
      <c r="B691" s="1" t="n">
        <v>44827</v>
      </c>
      <c r="C691" s="1" t="n">
        <v>46046</v>
      </c>
      <c r="D691" t="inlineStr">
        <is>
          <t>JÄMTLANDS LÄN</t>
        </is>
      </c>
      <c r="E691" t="inlineStr">
        <is>
          <t>HÄRJEDALEN</t>
        </is>
      </c>
      <c r="G691" t="n">
        <v>12.5</v>
      </c>
      <c r="H691" t="n">
        <v>0</v>
      </c>
      <c r="I691" t="n">
        <v>0</v>
      </c>
      <c r="J691" t="n">
        <v>0</v>
      </c>
      <c r="K691" t="n">
        <v>0</v>
      </c>
      <c r="L691" t="n">
        <v>0</v>
      </c>
      <c r="M691" t="n">
        <v>0</v>
      </c>
      <c r="N691" t="n">
        <v>0</v>
      </c>
      <c r="O691" t="n">
        <v>0</v>
      </c>
      <c r="P691" t="n">
        <v>0</v>
      </c>
      <c r="Q691" t="n">
        <v>0</v>
      </c>
      <c r="R691" s="2" t="inlineStr"/>
    </row>
    <row r="692" ht="15" customHeight="1">
      <c r="A692" t="inlineStr">
        <is>
          <t>A 41771-2022</t>
        </is>
      </c>
      <c r="B692" s="1" t="n">
        <v>44827</v>
      </c>
      <c r="C692" s="1" t="n">
        <v>46046</v>
      </c>
      <c r="D692" t="inlineStr">
        <is>
          <t>JÄMTLANDS LÄN</t>
        </is>
      </c>
      <c r="E692" t="inlineStr">
        <is>
          <t>HÄRJEDALEN</t>
        </is>
      </c>
      <c r="G692" t="n">
        <v>1.4</v>
      </c>
      <c r="H692" t="n">
        <v>0</v>
      </c>
      <c r="I692" t="n">
        <v>0</v>
      </c>
      <c r="J692" t="n">
        <v>0</v>
      </c>
      <c r="K692" t="n">
        <v>0</v>
      </c>
      <c r="L692" t="n">
        <v>0</v>
      </c>
      <c r="M692" t="n">
        <v>0</v>
      </c>
      <c r="N692" t="n">
        <v>0</v>
      </c>
      <c r="O692" t="n">
        <v>0</v>
      </c>
      <c r="P692" t="n">
        <v>0</v>
      </c>
      <c r="Q692" t="n">
        <v>0</v>
      </c>
      <c r="R692" s="2" t="inlineStr"/>
    </row>
    <row r="693" ht="15" customHeight="1">
      <c r="A693" t="inlineStr">
        <is>
          <t>A 58581-2024</t>
        </is>
      </c>
      <c r="B693" s="1" t="n">
        <v>45635.4916087963</v>
      </c>
      <c r="C693" s="1" t="n">
        <v>46046</v>
      </c>
      <c r="D693" t="inlineStr">
        <is>
          <t>JÄMTLANDS LÄN</t>
        </is>
      </c>
      <c r="E693" t="inlineStr">
        <is>
          <t>HÄRJEDALEN</t>
        </is>
      </c>
      <c r="G693" t="n">
        <v>1.5</v>
      </c>
      <c r="H693" t="n">
        <v>0</v>
      </c>
      <c r="I693" t="n">
        <v>0</v>
      </c>
      <c r="J693" t="n">
        <v>0</v>
      </c>
      <c r="K693" t="n">
        <v>0</v>
      </c>
      <c r="L693" t="n">
        <v>0</v>
      </c>
      <c r="M693" t="n">
        <v>0</v>
      </c>
      <c r="N693" t="n">
        <v>0</v>
      </c>
      <c r="O693" t="n">
        <v>0</v>
      </c>
      <c r="P693" t="n">
        <v>0</v>
      </c>
      <c r="Q693" t="n">
        <v>0</v>
      </c>
      <c r="R693" s="2" t="inlineStr"/>
    </row>
    <row r="694" ht="15" customHeight="1">
      <c r="A694" t="inlineStr">
        <is>
          <t>A 18893-2025</t>
        </is>
      </c>
      <c r="B694" s="1" t="n">
        <v>45764.44825231482</v>
      </c>
      <c r="C694" s="1" t="n">
        <v>46046</v>
      </c>
      <c r="D694" t="inlineStr">
        <is>
          <t>JÄMTLANDS LÄN</t>
        </is>
      </c>
      <c r="E694" t="inlineStr">
        <is>
          <t>HÄRJEDALEN</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18896-2025</t>
        </is>
      </c>
      <c r="B695" s="1" t="n">
        <v>45764.44861111111</v>
      </c>
      <c r="C695" s="1" t="n">
        <v>46046</v>
      </c>
      <c r="D695" t="inlineStr">
        <is>
          <t>JÄMTLANDS LÄN</t>
        </is>
      </c>
      <c r="E695" t="inlineStr">
        <is>
          <t>HÄRJEDALEN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47450-2022</t>
        </is>
      </c>
      <c r="B696" s="1" t="n">
        <v>44853</v>
      </c>
      <c r="C696" s="1" t="n">
        <v>46046</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73051-2021</t>
        </is>
      </c>
      <c r="B697" s="1" t="n">
        <v>44550.39550925926</v>
      </c>
      <c r="C697" s="1" t="n">
        <v>46046</v>
      </c>
      <c r="D697" t="inlineStr">
        <is>
          <t>JÄMTLANDS LÄN</t>
        </is>
      </c>
      <c r="E697" t="inlineStr">
        <is>
          <t>HÄRJEDALEN</t>
        </is>
      </c>
      <c r="G697" t="n">
        <v>3.7</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46046</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62699-2022</t>
        </is>
      </c>
      <c r="B699" s="1" t="n">
        <v>44925.59333333333</v>
      </c>
      <c r="C699" s="1" t="n">
        <v>46046</v>
      </c>
      <c r="D699" t="inlineStr">
        <is>
          <t>JÄMTLANDS LÄN</t>
        </is>
      </c>
      <c r="E699" t="inlineStr">
        <is>
          <t>HÄRJEDALEN</t>
        </is>
      </c>
      <c r="F699" t="inlineStr">
        <is>
          <t>Holmen skog AB</t>
        </is>
      </c>
      <c r="G699" t="n">
        <v>5</v>
      </c>
      <c r="H699" t="n">
        <v>0</v>
      </c>
      <c r="I699" t="n">
        <v>0</v>
      </c>
      <c r="J699" t="n">
        <v>0</v>
      </c>
      <c r="K699" t="n">
        <v>0</v>
      </c>
      <c r="L699" t="n">
        <v>0</v>
      </c>
      <c r="M699" t="n">
        <v>0</v>
      </c>
      <c r="N699" t="n">
        <v>0</v>
      </c>
      <c r="O699" t="n">
        <v>0</v>
      </c>
      <c r="P699" t="n">
        <v>0</v>
      </c>
      <c r="Q699" t="n">
        <v>0</v>
      </c>
      <c r="R699" s="2" t="inlineStr"/>
    </row>
    <row r="700" ht="15" customHeight="1">
      <c r="A700" t="inlineStr">
        <is>
          <t>A 39625-2022</t>
        </is>
      </c>
      <c r="B700" s="1" t="n">
        <v>44818</v>
      </c>
      <c r="C700" s="1" t="n">
        <v>46046</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4694-2023</t>
        </is>
      </c>
      <c r="B701" s="1" t="n">
        <v>44957</v>
      </c>
      <c r="C701" s="1" t="n">
        <v>46046</v>
      </c>
      <c r="D701" t="inlineStr">
        <is>
          <t>JÄMTLANDS LÄN</t>
        </is>
      </c>
      <c r="E701" t="inlineStr">
        <is>
          <t>HÄRJEDALEN</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42143-2023</t>
        </is>
      </c>
      <c r="B702" s="1" t="n">
        <v>45177.9224537037</v>
      </c>
      <c r="C702" s="1" t="n">
        <v>46046</v>
      </c>
      <c r="D702" t="inlineStr">
        <is>
          <t>JÄMTLANDS LÄN</t>
        </is>
      </c>
      <c r="E702" t="inlineStr">
        <is>
          <t>HÄRJEDALEN</t>
        </is>
      </c>
      <c r="G702" t="n">
        <v>2</v>
      </c>
      <c r="H702" t="n">
        <v>0</v>
      </c>
      <c r="I702" t="n">
        <v>0</v>
      </c>
      <c r="J702" t="n">
        <v>0</v>
      </c>
      <c r="K702" t="n">
        <v>0</v>
      </c>
      <c r="L702" t="n">
        <v>0</v>
      </c>
      <c r="M702" t="n">
        <v>0</v>
      </c>
      <c r="N702" t="n">
        <v>0</v>
      </c>
      <c r="O702" t="n">
        <v>0</v>
      </c>
      <c r="P702" t="n">
        <v>0</v>
      </c>
      <c r="Q702" t="n">
        <v>0</v>
      </c>
      <c r="R702" s="2" t="inlineStr"/>
    </row>
    <row r="703" ht="15" customHeight="1">
      <c r="A703" t="inlineStr">
        <is>
          <t>A 31096-2025</t>
        </is>
      </c>
      <c r="B703" s="1" t="n">
        <v>45831</v>
      </c>
      <c r="C703" s="1" t="n">
        <v>46046</v>
      </c>
      <c r="D703" t="inlineStr">
        <is>
          <t>JÄMTLANDS LÄN</t>
        </is>
      </c>
      <c r="E703" t="inlineStr">
        <is>
          <t>HÄRJEDALEN</t>
        </is>
      </c>
      <c r="F703" t="inlineStr">
        <is>
          <t>Bergvik skog väst AB</t>
        </is>
      </c>
      <c r="G703" t="n">
        <v>11.4</v>
      </c>
      <c r="H703" t="n">
        <v>0</v>
      </c>
      <c r="I703" t="n">
        <v>0</v>
      </c>
      <c r="J703" t="n">
        <v>0</v>
      </c>
      <c r="K703" t="n">
        <v>0</v>
      </c>
      <c r="L703" t="n">
        <v>0</v>
      </c>
      <c r="M703" t="n">
        <v>0</v>
      </c>
      <c r="N703" t="n">
        <v>0</v>
      </c>
      <c r="O703" t="n">
        <v>0</v>
      </c>
      <c r="P703" t="n">
        <v>0</v>
      </c>
      <c r="Q703" t="n">
        <v>0</v>
      </c>
      <c r="R703" s="2" t="inlineStr"/>
    </row>
    <row r="704" ht="15" customHeight="1">
      <c r="A704" t="inlineStr">
        <is>
          <t>A 16801-2024</t>
        </is>
      </c>
      <c r="B704" s="1" t="n">
        <v>45411.44549768518</v>
      </c>
      <c r="C704" s="1" t="n">
        <v>46046</v>
      </c>
      <c r="D704" t="inlineStr">
        <is>
          <t>JÄMTLANDS LÄN</t>
        </is>
      </c>
      <c r="E704" t="inlineStr">
        <is>
          <t>HÄRJEDALEN</t>
        </is>
      </c>
      <c r="F704" t="inlineStr">
        <is>
          <t>Bergvik skog väst AB</t>
        </is>
      </c>
      <c r="G704" t="n">
        <v>15.2</v>
      </c>
      <c r="H704" t="n">
        <v>0</v>
      </c>
      <c r="I704" t="n">
        <v>0</v>
      </c>
      <c r="J704" t="n">
        <v>0</v>
      </c>
      <c r="K704" t="n">
        <v>0</v>
      </c>
      <c r="L704" t="n">
        <v>0</v>
      </c>
      <c r="M704" t="n">
        <v>0</v>
      </c>
      <c r="N704" t="n">
        <v>0</v>
      </c>
      <c r="O704" t="n">
        <v>0</v>
      </c>
      <c r="P704" t="n">
        <v>0</v>
      </c>
      <c r="Q704" t="n">
        <v>0</v>
      </c>
      <c r="R704" s="2" t="inlineStr"/>
    </row>
    <row r="705" ht="15" customHeight="1">
      <c r="A705" t="inlineStr">
        <is>
          <t>A 12929-2024</t>
        </is>
      </c>
      <c r="B705" s="1" t="n">
        <v>45385</v>
      </c>
      <c r="C705" s="1" t="n">
        <v>46046</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46046</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46046</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46046</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31255-2025</t>
        </is>
      </c>
      <c r="B709" s="1" t="n">
        <v>45832</v>
      </c>
      <c r="C709" s="1" t="n">
        <v>46046</v>
      </c>
      <c r="D709" t="inlineStr">
        <is>
          <t>JÄMTLANDS LÄN</t>
        </is>
      </c>
      <c r="E709" t="inlineStr">
        <is>
          <t>HÄRJEDALEN</t>
        </is>
      </c>
      <c r="F709" t="inlineStr">
        <is>
          <t>Bergvik skog väst AB</t>
        </is>
      </c>
      <c r="G709" t="n">
        <v>12.9</v>
      </c>
      <c r="H709" t="n">
        <v>0</v>
      </c>
      <c r="I709" t="n">
        <v>0</v>
      </c>
      <c r="J709" t="n">
        <v>0</v>
      </c>
      <c r="K709" t="n">
        <v>0</v>
      </c>
      <c r="L709" t="n">
        <v>0</v>
      </c>
      <c r="M709" t="n">
        <v>0</v>
      </c>
      <c r="N709" t="n">
        <v>0</v>
      </c>
      <c r="O709" t="n">
        <v>0</v>
      </c>
      <c r="P709" t="n">
        <v>0</v>
      </c>
      <c r="Q709" t="n">
        <v>0</v>
      </c>
      <c r="R709" s="2" t="inlineStr"/>
    </row>
    <row r="710" ht="15" customHeight="1">
      <c r="A710" t="inlineStr">
        <is>
          <t>A 15747-2023</t>
        </is>
      </c>
      <c r="B710" s="1" t="n">
        <v>45020</v>
      </c>
      <c r="C710" s="1" t="n">
        <v>46046</v>
      </c>
      <c r="D710" t="inlineStr">
        <is>
          <t>JÄMTLANDS LÄN</t>
        </is>
      </c>
      <c r="E710" t="inlineStr">
        <is>
          <t>HÄRJEDALEN</t>
        </is>
      </c>
      <c r="G710" t="n">
        <v>0.1</v>
      </c>
      <c r="H710" t="n">
        <v>0</v>
      </c>
      <c r="I710" t="n">
        <v>0</v>
      </c>
      <c r="J710" t="n">
        <v>0</v>
      </c>
      <c r="K710" t="n">
        <v>0</v>
      </c>
      <c r="L710" t="n">
        <v>0</v>
      </c>
      <c r="M710" t="n">
        <v>0</v>
      </c>
      <c r="N710" t="n">
        <v>0</v>
      </c>
      <c r="O710" t="n">
        <v>0</v>
      </c>
      <c r="P710" t="n">
        <v>0</v>
      </c>
      <c r="Q710" t="n">
        <v>0</v>
      </c>
      <c r="R710" s="2" t="inlineStr"/>
    </row>
    <row r="711" ht="15" customHeight="1">
      <c r="A711" t="inlineStr">
        <is>
          <t>A 53537-2024</t>
        </is>
      </c>
      <c r="B711" s="1" t="n">
        <v>45614.62445601852</v>
      </c>
      <c r="C711" s="1" t="n">
        <v>46046</v>
      </c>
      <c r="D711" t="inlineStr">
        <is>
          <t>JÄMTLANDS LÄN</t>
        </is>
      </c>
      <c r="E711" t="inlineStr">
        <is>
          <t>HÄRJEDALEN</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48198-2024</t>
        </is>
      </c>
      <c r="B712" s="1" t="n">
        <v>45590.31899305555</v>
      </c>
      <c r="C712" s="1" t="n">
        <v>46046</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31570-2025</t>
        </is>
      </c>
      <c r="B713" s="1" t="n">
        <v>45833</v>
      </c>
      <c r="C713" s="1" t="n">
        <v>46046</v>
      </c>
      <c r="D713" t="inlineStr">
        <is>
          <t>JÄMTLANDS LÄN</t>
        </is>
      </c>
      <c r="E713" t="inlineStr">
        <is>
          <t>HÄRJEDALEN</t>
        </is>
      </c>
      <c r="F713" t="inlineStr">
        <is>
          <t>Bergvik skog väst AB</t>
        </is>
      </c>
      <c r="G713" t="n">
        <v>5.4</v>
      </c>
      <c r="H713" t="n">
        <v>0</v>
      </c>
      <c r="I713" t="n">
        <v>0</v>
      </c>
      <c r="J713" t="n">
        <v>0</v>
      </c>
      <c r="K713" t="n">
        <v>0</v>
      </c>
      <c r="L713" t="n">
        <v>0</v>
      </c>
      <c r="M713" t="n">
        <v>0</v>
      </c>
      <c r="N713" t="n">
        <v>0</v>
      </c>
      <c r="O713" t="n">
        <v>0</v>
      </c>
      <c r="P713" t="n">
        <v>0</v>
      </c>
      <c r="Q713" t="n">
        <v>0</v>
      </c>
      <c r="R713" s="2" t="inlineStr"/>
    </row>
    <row r="714" ht="15" customHeight="1">
      <c r="A714" t="inlineStr">
        <is>
          <t>A 16517-2025</t>
        </is>
      </c>
      <c r="B714" s="1" t="n">
        <v>45751.63266203704</v>
      </c>
      <c r="C714" s="1" t="n">
        <v>46046</v>
      </c>
      <c r="D714" t="inlineStr">
        <is>
          <t>JÄMTLANDS LÄN</t>
        </is>
      </c>
      <c r="E714" t="inlineStr">
        <is>
          <t>HÄRJEDALEN</t>
        </is>
      </c>
      <c r="F714" t="inlineStr">
        <is>
          <t>Övriga Aktiebolag</t>
        </is>
      </c>
      <c r="G714" t="n">
        <v>18.6</v>
      </c>
      <c r="H714" t="n">
        <v>0</v>
      </c>
      <c r="I714" t="n">
        <v>0</v>
      </c>
      <c r="J714" t="n">
        <v>0</v>
      </c>
      <c r="K714" t="n">
        <v>0</v>
      </c>
      <c r="L714" t="n">
        <v>0</v>
      </c>
      <c r="M714" t="n">
        <v>0</v>
      </c>
      <c r="N714" t="n">
        <v>0</v>
      </c>
      <c r="O714" t="n">
        <v>0</v>
      </c>
      <c r="P714" t="n">
        <v>0</v>
      </c>
      <c r="Q714" t="n">
        <v>0</v>
      </c>
      <c r="R714" s="2" t="inlineStr"/>
    </row>
    <row r="715" ht="15" customHeight="1">
      <c r="A715" t="inlineStr">
        <is>
          <t>A 31526-2025</t>
        </is>
      </c>
      <c r="B715" s="1" t="n">
        <v>45833</v>
      </c>
      <c r="C715" s="1" t="n">
        <v>46046</v>
      </c>
      <c r="D715" t="inlineStr">
        <is>
          <t>JÄMTLANDS LÄN</t>
        </is>
      </c>
      <c r="E715" t="inlineStr">
        <is>
          <t>HÄRJEDALEN</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31252-2025</t>
        </is>
      </c>
      <c r="B716" s="1" t="n">
        <v>45832</v>
      </c>
      <c r="C716" s="1" t="n">
        <v>46046</v>
      </c>
      <c r="D716" t="inlineStr">
        <is>
          <t>JÄMTLANDS LÄN</t>
        </is>
      </c>
      <c r="E716" t="inlineStr">
        <is>
          <t>HÄRJEDALEN</t>
        </is>
      </c>
      <c r="F716" t="inlineStr">
        <is>
          <t>Bergvik skog väst AB</t>
        </is>
      </c>
      <c r="G716" t="n">
        <v>8</v>
      </c>
      <c r="H716" t="n">
        <v>0</v>
      </c>
      <c r="I716" t="n">
        <v>0</v>
      </c>
      <c r="J716" t="n">
        <v>0</v>
      </c>
      <c r="K716" t="n">
        <v>0</v>
      </c>
      <c r="L716" t="n">
        <v>0</v>
      </c>
      <c r="M716" t="n">
        <v>0</v>
      </c>
      <c r="N716" t="n">
        <v>0</v>
      </c>
      <c r="O716" t="n">
        <v>0</v>
      </c>
      <c r="P716" t="n">
        <v>0</v>
      </c>
      <c r="Q716" t="n">
        <v>0</v>
      </c>
      <c r="R716" s="2" t="inlineStr"/>
    </row>
    <row r="717" ht="15" customHeight="1">
      <c r="A717" t="inlineStr">
        <is>
          <t>A 18389-2021</t>
        </is>
      </c>
      <c r="B717" s="1" t="n">
        <v>44305</v>
      </c>
      <c r="C717" s="1" t="n">
        <v>46046</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31294-2025</t>
        </is>
      </c>
      <c r="B718" s="1" t="n">
        <v>45833.36467592593</v>
      </c>
      <c r="C718" s="1" t="n">
        <v>46046</v>
      </c>
      <c r="D718" t="inlineStr">
        <is>
          <t>JÄMTLANDS LÄN</t>
        </is>
      </c>
      <c r="E718" t="inlineStr">
        <is>
          <t>HÄRJEDALEN</t>
        </is>
      </c>
      <c r="F718" t="inlineStr">
        <is>
          <t>Bergvik skog väst AB</t>
        </is>
      </c>
      <c r="G718" t="n">
        <v>22.1</v>
      </c>
      <c r="H718" t="n">
        <v>0</v>
      </c>
      <c r="I718" t="n">
        <v>0</v>
      </c>
      <c r="J718" t="n">
        <v>0</v>
      </c>
      <c r="K718" t="n">
        <v>0</v>
      </c>
      <c r="L718" t="n">
        <v>0</v>
      </c>
      <c r="M718" t="n">
        <v>0</v>
      </c>
      <c r="N718" t="n">
        <v>0</v>
      </c>
      <c r="O718" t="n">
        <v>0</v>
      </c>
      <c r="P718" t="n">
        <v>0</v>
      </c>
      <c r="Q718" t="n">
        <v>0</v>
      </c>
      <c r="R718" s="2" t="inlineStr"/>
    </row>
    <row r="719" ht="15" customHeight="1">
      <c r="A719" t="inlineStr">
        <is>
          <t>A 31148-2025</t>
        </is>
      </c>
      <c r="B719" s="1" t="n">
        <v>45832.64047453704</v>
      </c>
      <c r="C719" s="1" t="n">
        <v>46046</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1658-2025</t>
        </is>
      </c>
      <c r="B720" s="1" t="n">
        <v>45670.66085648148</v>
      </c>
      <c r="C720" s="1" t="n">
        <v>46046</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30922-2025</t>
        </is>
      </c>
      <c r="B721" s="1" t="n">
        <v>45832.3859837963</v>
      </c>
      <c r="C721" s="1" t="n">
        <v>46046</v>
      </c>
      <c r="D721" t="inlineStr">
        <is>
          <t>JÄMTLANDS LÄN</t>
        </is>
      </c>
      <c r="E721" t="inlineStr">
        <is>
          <t>HÄRJEDALEN</t>
        </is>
      </c>
      <c r="F721" t="inlineStr">
        <is>
          <t>SCA</t>
        </is>
      </c>
      <c r="G721" t="n">
        <v>17.7</v>
      </c>
      <c r="H721" t="n">
        <v>0</v>
      </c>
      <c r="I721" t="n">
        <v>0</v>
      </c>
      <c r="J721" t="n">
        <v>0</v>
      </c>
      <c r="K721" t="n">
        <v>0</v>
      </c>
      <c r="L721" t="n">
        <v>0</v>
      </c>
      <c r="M721" t="n">
        <v>0</v>
      </c>
      <c r="N721" t="n">
        <v>0</v>
      </c>
      <c r="O721" t="n">
        <v>0</v>
      </c>
      <c r="P721" t="n">
        <v>0</v>
      </c>
      <c r="Q721" t="n">
        <v>0</v>
      </c>
      <c r="R721" s="2" t="inlineStr"/>
    </row>
    <row r="722" ht="15" customHeight="1">
      <c r="A722" t="inlineStr">
        <is>
          <t>A 31498-2025</t>
        </is>
      </c>
      <c r="B722" s="1" t="n">
        <v>45833</v>
      </c>
      <c r="C722" s="1" t="n">
        <v>46046</v>
      </c>
      <c r="D722" t="inlineStr">
        <is>
          <t>JÄMTLANDS LÄN</t>
        </is>
      </c>
      <c r="E722" t="inlineStr">
        <is>
          <t>HÄRJEDALEN</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31522-2025</t>
        </is>
      </c>
      <c r="B723" s="1" t="n">
        <v>45833.6081712963</v>
      </c>
      <c r="C723" s="1" t="n">
        <v>46046</v>
      </c>
      <c r="D723" t="inlineStr">
        <is>
          <t>JÄMTLANDS LÄN</t>
        </is>
      </c>
      <c r="E723" t="inlineStr">
        <is>
          <t>HÄRJEDALEN</t>
        </is>
      </c>
      <c r="F723" t="inlineStr">
        <is>
          <t>Bergvik skog väst AB</t>
        </is>
      </c>
      <c r="G723" t="n">
        <v>2.8</v>
      </c>
      <c r="H723" t="n">
        <v>0</v>
      </c>
      <c r="I723" t="n">
        <v>0</v>
      </c>
      <c r="J723" t="n">
        <v>0</v>
      </c>
      <c r="K723" t="n">
        <v>0</v>
      </c>
      <c r="L723" t="n">
        <v>0</v>
      </c>
      <c r="M723" t="n">
        <v>0</v>
      </c>
      <c r="N723" t="n">
        <v>0</v>
      </c>
      <c r="O723" t="n">
        <v>0</v>
      </c>
      <c r="P723" t="n">
        <v>0</v>
      </c>
      <c r="Q723" t="n">
        <v>0</v>
      </c>
      <c r="R723" s="2" t="inlineStr"/>
    </row>
    <row r="724" ht="15" customHeight="1">
      <c r="A724" t="inlineStr">
        <is>
          <t>A 31253-2025</t>
        </is>
      </c>
      <c r="B724" s="1" t="n">
        <v>45832</v>
      </c>
      <c r="C724" s="1" t="n">
        <v>46046</v>
      </c>
      <c r="D724" t="inlineStr">
        <is>
          <t>JÄMTLANDS LÄN</t>
        </is>
      </c>
      <c r="E724" t="inlineStr">
        <is>
          <t>HÄRJEDALEN</t>
        </is>
      </c>
      <c r="F724" t="inlineStr">
        <is>
          <t>Bergvik skog väst AB</t>
        </is>
      </c>
      <c r="G724" t="n">
        <v>24.9</v>
      </c>
      <c r="H724" t="n">
        <v>0</v>
      </c>
      <c r="I724" t="n">
        <v>0</v>
      </c>
      <c r="J724" t="n">
        <v>0</v>
      </c>
      <c r="K724" t="n">
        <v>0</v>
      </c>
      <c r="L724" t="n">
        <v>0</v>
      </c>
      <c r="M724" t="n">
        <v>0</v>
      </c>
      <c r="N724" t="n">
        <v>0</v>
      </c>
      <c r="O724" t="n">
        <v>0</v>
      </c>
      <c r="P724" t="n">
        <v>0</v>
      </c>
      <c r="Q724" t="n">
        <v>0</v>
      </c>
      <c r="R724" s="2" t="inlineStr"/>
    </row>
    <row r="725" ht="15" customHeight="1">
      <c r="A725" t="inlineStr">
        <is>
          <t>A 31921-2025</t>
        </is>
      </c>
      <c r="B725" s="1" t="n">
        <v>45834.80229166667</v>
      </c>
      <c r="C725" s="1" t="n">
        <v>46046</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32180-2025</t>
        </is>
      </c>
      <c r="B726" s="1" t="n">
        <v>45835.55998842593</v>
      </c>
      <c r="C726" s="1" t="n">
        <v>46046</v>
      </c>
      <c r="D726" t="inlineStr">
        <is>
          <t>JÄMTLANDS LÄN</t>
        </is>
      </c>
      <c r="E726" t="inlineStr">
        <is>
          <t>HÄRJEDALEN</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32190-2025</t>
        </is>
      </c>
      <c r="B727" s="1" t="n">
        <v>45835.57069444445</v>
      </c>
      <c r="C727" s="1" t="n">
        <v>46046</v>
      </c>
      <c r="D727" t="inlineStr">
        <is>
          <t>JÄMTLANDS LÄN</t>
        </is>
      </c>
      <c r="E727" t="inlineStr">
        <is>
          <t>HÄRJEDALEN</t>
        </is>
      </c>
      <c r="G727" t="n">
        <v>6.4</v>
      </c>
      <c r="H727" t="n">
        <v>0</v>
      </c>
      <c r="I727" t="n">
        <v>0</v>
      </c>
      <c r="J727" t="n">
        <v>0</v>
      </c>
      <c r="K727" t="n">
        <v>0</v>
      </c>
      <c r="L727" t="n">
        <v>0</v>
      </c>
      <c r="M727" t="n">
        <v>0</v>
      </c>
      <c r="N727" t="n">
        <v>0</v>
      </c>
      <c r="O727" t="n">
        <v>0</v>
      </c>
      <c r="P727" t="n">
        <v>0</v>
      </c>
      <c r="Q727" t="n">
        <v>0</v>
      </c>
      <c r="R727" s="2" t="inlineStr"/>
    </row>
    <row r="728" ht="15" customHeight="1">
      <c r="A728" t="inlineStr">
        <is>
          <t>A 31913-2025</t>
        </is>
      </c>
      <c r="B728" s="1" t="n">
        <v>45834.7087962963</v>
      </c>
      <c r="C728" s="1" t="n">
        <v>46046</v>
      </c>
      <c r="D728" t="inlineStr">
        <is>
          <t>JÄMTLANDS LÄN</t>
        </is>
      </c>
      <c r="E728" t="inlineStr">
        <is>
          <t>HÄRJEDALEN</t>
        </is>
      </c>
      <c r="G728" t="n">
        <v>0.3</v>
      </c>
      <c r="H728" t="n">
        <v>0</v>
      </c>
      <c r="I728" t="n">
        <v>0</v>
      </c>
      <c r="J728" t="n">
        <v>0</v>
      </c>
      <c r="K728" t="n">
        <v>0</v>
      </c>
      <c r="L728" t="n">
        <v>0</v>
      </c>
      <c r="M728" t="n">
        <v>0</v>
      </c>
      <c r="N728" t="n">
        <v>0</v>
      </c>
      <c r="O728" t="n">
        <v>0</v>
      </c>
      <c r="P728" t="n">
        <v>0</v>
      </c>
      <c r="Q728" t="n">
        <v>0</v>
      </c>
      <c r="R728" s="2" t="inlineStr"/>
    </row>
    <row r="729" ht="15" customHeight="1">
      <c r="A729" t="inlineStr">
        <is>
          <t>A 31910-2025</t>
        </is>
      </c>
      <c r="B729" s="1" t="n">
        <v>45834.69577546296</v>
      </c>
      <c r="C729" s="1" t="n">
        <v>46046</v>
      </c>
      <c r="D729" t="inlineStr">
        <is>
          <t>JÄMTLANDS LÄN</t>
        </is>
      </c>
      <c r="E729" t="inlineStr">
        <is>
          <t>HÄRJEDALEN</t>
        </is>
      </c>
      <c r="G729" t="n">
        <v>0.4</v>
      </c>
      <c r="H729" t="n">
        <v>0</v>
      </c>
      <c r="I729" t="n">
        <v>0</v>
      </c>
      <c r="J729" t="n">
        <v>0</v>
      </c>
      <c r="K729" t="n">
        <v>0</v>
      </c>
      <c r="L729" t="n">
        <v>0</v>
      </c>
      <c r="M729" t="n">
        <v>0</v>
      </c>
      <c r="N729" t="n">
        <v>0</v>
      </c>
      <c r="O729" t="n">
        <v>0</v>
      </c>
      <c r="P729" t="n">
        <v>0</v>
      </c>
      <c r="Q729" t="n">
        <v>0</v>
      </c>
      <c r="R729" s="2" t="inlineStr"/>
    </row>
    <row r="730" ht="15" customHeight="1">
      <c r="A730" t="inlineStr">
        <is>
          <t>A 32178-2025</t>
        </is>
      </c>
      <c r="B730" s="1" t="n">
        <v>45835.5583912037</v>
      </c>
      <c r="C730" s="1" t="n">
        <v>46046</v>
      </c>
      <c r="D730" t="inlineStr">
        <is>
          <t>JÄMTLANDS LÄN</t>
        </is>
      </c>
      <c r="E730" t="inlineStr">
        <is>
          <t>HÄRJEDALEN</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62500-2022</t>
        </is>
      </c>
      <c r="B731" s="1" t="n">
        <v>44924.59140046296</v>
      </c>
      <c r="C731" s="1" t="n">
        <v>46046</v>
      </c>
      <c r="D731" t="inlineStr">
        <is>
          <t>JÄMTLANDS LÄN</t>
        </is>
      </c>
      <c r="E731" t="inlineStr">
        <is>
          <t>HÄRJEDALEN</t>
        </is>
      </c>
      <c r="F731" t="inlineStr">
        <is>
          <t>Holmen skog AB</t>
        </is>
      </c>
      <c r="G731" t="n">
        <v>1.3</v>
      </c>
      <c r="H731" t="n">
        <v>0</v>
      </c>
      <c r="I731" t="n">
        <v>0</v>
      </c>
      <c r="J731" t="n">
        <v>0</v>
      </c>
      <c r="K731" t="n">
        <v>0</v>
      </c>
      <c r="L731" t="n">
        <v>0</v>
      </c>
      <c r="M731" t="n">
        <v>0</v>
      </c>
      <c r="N731" t="n">
        <v>0</v>
      </c>
      <c r="O731" t="n">
        <v>0</v>
      </c>
      <c r="P731" t="n">
        <v>0</v>
      </c>
      <c r="Q731" t="n">
        <v>0</v>
      </c>
      <c r="R731" s="2" t="inlineStr"/>
    </row>
    <row r="732" ht="15" customHeight="1">
      <c r="A732" t="inlineStr">
        <is>
          <t>A 31958-2023</t>
        </is>
      </c>
      <c r="B732" s="1" t="n">
        <v>45119.38675925926</v>
      </c>
      <c r="C732" s="1" t="n">
        <v>46046</v>
      </c>
      <c r="D732" t="inlineStr">
        <is>
          <t>JÄMTLANDS LÄN</t>
        </is>
      </c>
      <c r="E732" t="inlineStr">
        <is>
          <t>HÄRJEDALEN</t>
        </is>
      </c>
      <c r="F732" t="inlineStr">
        <is>
          <t>Bergvik skog väst AB</t>
        </is>
      </c>
      <c r="G732" t="n">
        <v>2.4</v>
      </c>
      <c r="H732" t="n">
        <v>0</v>
      </c>
      <c r="I732" t="n">
        <v>0</v>
      </c>
      <c r="J732" t="n">
        <v>0</v>
      </c>
      <c r="K732" t="n">
        <v>0</v>
      </c>
      <c r="L732" t="n">
        <v>0</v>
      </c>
      <c r="M732" t="n">
        <v>0</v>
      </c>
      <c r="N732" t="n">
        <v>0</v>
      </c>
      <c r="O732" t="n">
        <v>0</v>
      </c>
      <c r="P732" t="n">
        <v>0</v>
      </c>
      <c r="Q732" t="n">
        <v>0</v>
      </c>
      <c r="R732" s="2" t="inlineStr"/>
    </row>
    <row r="733" ht="15" customHeight="1">
      <c r="A733" t="inlineStr">
        <is>
          <t>A 31884-2025</t>
        </is>
      </c>
      <c r="B733" s="1" t="n">
        <v>45834.6568287037</v>
      </c>
      <c r="C733" s="1" t="n">
        <v>46046</v>
      </c>
      <c r="D733" t="inlineStr">
        <is>
          <t>JÄMTLANDS LÄN</t>
        </is>
      </c>
      <c r="E733" t="inlineStr">
        <is>
          <t>HÄRJEDALEN</t>
        </is>
      </c>
      <c r="G733" t="n">
        <v>7.9</v>
      </c>
      <c r="H733" t="n">
        <v>0</v>
      </c>
      <c r="I733" t="n">
        <v>0</v>
      </c>
      <c r="J733" t="n">
        <v>0</v>
      </c>
      <c r="K733" t="n">
        <v>0</v>
      </c>
      <c r="L733" t="n">
        <v>0</v>
      </c>
      <c r="M733" t="n">
        <v>0</v>
      </c>
      <c r="N733" t="n">
        <v>0</v>
      </c>
      <c r="O733" t="n">
        <v>0</v>
      </c>
      <c r="P733" t="n">
        <v>0</v>
      </c>
      <c r="Q733" t="n">
        <v>0</v>
      </c>
      <c r="R733" s="2" t="inlineStr"/>
    </row>
    <row r="734" ht="15" customHeight="1">
      <c r="A734" t="inlineStr">
        <is>
          <t>A 55388-2021</t>
        </is>
      </c>
      <c r="B734" s="1" t="n">
        <v>44475</v>
      </c>
      <c r="C734" s="1" t="n">
        <v>46046</v>
      </c>
      <c r="D734" t="inlineStr">
        <is>
          <t>JÄMTLANDS LÄN</t>
        </is>
      </c>
      <c r="E734" t="inlineStr">
        <is>
          <t>HÄRJEDALEN</t>
        </is>
      </c>
      <c r="G734" t="n">
        <v>0.6</v>
      </c>
      <c r="H734" t="n">
        <v>0</v>
      </c>
      <c r="I734" t="n">
        <v>0</v>
      </c>
      <c r="J734" t="n">
        <v>0</v>
      </c>
      <c r="K734" t="n">
        <v>0</v>
      </c>
      <c r="L734" t="n">
        <v>0</v>
      </c>
      <c r="M734" t="n">
        <v>0</v>
      </c>
      <c r="N734" t="n">
        <v>0</v>
      </c>
      <c r="O734" t="n">
        <v>0</v>
      </c>
      <c r="P734" t="n">
        <v>0</v>
      </c>
      <c r="Q734" t="n">
        <v>0</v>
      </c>
      <c r="R734" s="2" t="inlineStr"/>
    </row>
    <row r="735" ht="15" customHeight="1">
      <c r="A735" t="inlineStr">
        <is>
          <t>A 31772-2025</t>
        </is>
      </c>
      <c r="B735" s="1" t="n">
        <v>45834.51079861111</v>
      </c>
      <c r="C735" s="1" t="n">
        <v>46046</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63323-2023</t>
        </is>
      </c>
      <c r="B736" s="1" t="n">
        <v>45274</v>
      </c>
      <c r="C736" s="1" t="n">
        <v>46046</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39158-2023</t>
        </is>
      </c>
      <c r="B737" s="1" t="n">
        <v>45166.34795138889</v>
      </c>
      <c r="C737" s="1" t="n">
        <v>46046</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46046</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46046</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36926-2023</t>
        </is>
      </c>
      <c r="B740" s="1" t="n">
        <v>45154</v>
      </c>
      <c r="C740" s="1" t="n">
        <v>46046</v>
      </c>
      <c r="D740" t="inlineStr">
        <is>
          <t>JÄMTLANDS LÄN</t>
        </is>
      </c>
      <c r="E740" t="inlineStr">
        <is>
          <t>HÄRJEDALEN</t>
        </is>
      </c>
      <c r="G740" t="n">
        <v>0.4</v>
      </c>
      <c r="H740" t="n">
        <v>0</v>
      </c>
      <c r="I740" t="n">
        <v>0</v>
      </c>
      <c r="J740" t="n">
        <v>0</v>
      </c>
      <c r="K740" t="n">
        <v>0</v>
      </c>
      <c r="L740" t="n">
        <v>0</v>
      </c>
      <c r="M740" t="n">
        <v>0</v>
      </c>
      <c r="N740" t="n">
        <v>0</v>
      </c>
      <c r="O740" t="n">
        <v>0</v>
      </c>
      <c r="P740" t="n">
        <v>0</v>
      </c>
      <c r="Q740" t="n">
        <v>0</v>
      </c>
      <c r="R740" s="2" t="inlineStr"/>
    </row>
    <row r="741" ht="15" customHeight="1">
      <c r="A741" t="inlineStr">
        <is>
          <t>A 47351-2022</t>
        </is>
      </c>
      <c r="B741" s="1" t="n">
        <v>44853.41693287037</v>
      </c>
      <c r="C741" s="1" t="n">
        <v>46046</v>
      </c>
      <c r="D741" t="inlineStr">
        <is>
          <t>JÄMTLANDS LÄN</t>
        </is>
      </c>
      <c r="E741" t="inlineStr">
        <is>
          <t>HÄRJEDALEN</t>
        </is>
      </c>
      <c r="G741" t="n">
        <v>1</v>
      </c>
      <c r="H741" t="n">
        <v>0</v>
      </c>
      <c r="I741" t="n">
        <v>0</v>
      </c>
      <c r="J741" t="n">
        <v>0</v>
      </c>
      <c r="K741" t="n">
        <v>0</v>
      </c>
      <c r="L741" t="n">
        <v>0</v>
      </c>
      <c r="M741" t="n">
        <v>0</v>
      </c>
      <c r="N741" t="n">
        <v>0</v>
      </c>
      <c r="O741" t="n">
        <v>0</v>
      </c>
      <c r="P741" t="n">
        <v>0</v>
      </c>
      <c r="Q741" t="n">
        <v>0</v>
      </c>
      <c r="R741" s="2" t="inlineStr"/>
    </row>
    <row r="742" ht="15" customHeight="1">
      <c r="A742" t="inlineStr">
        <is>
          <t>A 816-2025</t>
        </is>
      </c>
      <c r="B742" s="1" t="n">
        <v>45665.563125</v>
      </c>
      <c r="C742" s="1" t="n">
        <v>46046</v>
      </c>
      <c r="D742" t="inlineStr">
        <is>
          <t>JÄMTLANDS LÄN</t>
        </is>
      </c>
      <c r="E742" t="inlineStr">
        <is>
          <t>HÄRJEDALEN</t>
        </is>
      </c>
      <c r="F742" t="inlineStr">
        <is>
          <t>Bergvik skog väst AB</t>
        </is>
      </c>
      <c r="G742" t="n">
        <v>10.8</v>
      </c>
      <c r="H742" t="n">
        <v>0</v>
      </c>
      <c r="I742" t="n">
        <v>0</v>
      </c>
      <c r="J742" t="n">
        <v>0</v>
      </c>
      <c r="K742" t="n">
        <v>0</v>
      </c>
      <c r="L742" t="n">
        <v>0</v>
      </c>
      <c r="M742" t="n">
        <v>0</v>
      </c>
      <c r="N742" t="n">
        <v>0</v>
      </c>
      <c r="O742" t="n">
        <v>0</v>
      </c>
      <c r="P742" t="n">
        <v>0</v>
      </c>
      <c r="Q742" t="n">
        <v>0</v>
      </c>
      <c r="R742" s="2" t="inlineStr"/>
    </row>
    <row r="743" ht="15" customHeight="1">
      <c r="A743" t="inlineStr">
        <is>
          <t>A 7385-2025</t>
        </is>
      </c>
      <c r="B743" s="1" t="n">
        <v>45705.32643518518</v>
      </c>
      <c r="C743" s="1" t="n">
        <v>46046</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32841-2025</t>
        </is>
      </c>
      <c r="B744" s="1" t="n">
        <v>45839.5658912037</v>
      </c>
      <c r="C744" s="1" t="n">
        <v>46046</v>
      </c>
      <c r="D744" t="inlineStr">
        <is>
          <t>JÄMTLANDS LÄN</t>
        </is>
      </c>
      <c r="E744" t="inlineStr">
        <is>
          <t>HÄRJEDALEN</t>
        </is>
      </c>
      <c r="G744" t="n">
        <v>0.7</v>
      </c>
      <c r="H744" t="n">
        <v>0</v>
      </c>
      <c r="I744" t="n">
        <v>0</v>
      </c>
      <c r="J744" t="n">
        <v>0</v>
      </c>
      <c r="K744" t="n">
        <v>0</v>
      </c>
      <c r="L744" t="n">
        <v>0</v>
      </c>
      <c r="M744" t="n">
        <v>0</v>
      </c>
      <c r="N744" t="n">
        <v>0</v>
      </c>
      <c r="O744" t="n">
        <v>0</v>
      </c>
      <c r="P744" t="n">
        <v>0</v>
      </c>
      <c r="Q744" t="n">
        <v>0</v>
      </c>
      <c r="R744" s="2" t="inlineStr"/>
    </row>
    <row r="745" ht="15" customHeight="1">
      <c r="A745" t="inlineStr">
        <is>
          <t>A 36083-2024</t>
        </is>
      </c>
      <c r="B745" s="1" t="n">
        <v>45533.67138888889</v>
      </c>
      <c r="C745" s="1" t="n">
        <v>46046</v>
      </c>
      <c r="D745" t="inlineStr">
        <is>
          <t>JÄMTLANDS LÄN</t>
        </is>
      </c>
      <c r="E745" t="inlineStr">
        <is>
          <t>HÄRJEDALEN</t>
        </is>
      </c>
      <c r="G745" t="n">
        <v>0.9</v>
      </c>
      <c r="H745" t="n">
        <v>0</v>
      </c>
      <c r="I745" t="n">
        <v>0</v>
      </c>
      <c r="J745" t="n">
        <v>0</v>
      </c>
      <c r="K745" t="n">
        <v>0</v>
      </c>
      <c r="L745" t="n">
        <v>0</v>
      </c>
      <c r="M745" t="n">
        <v>0</v>
      </c>
      <c r="N745" t="n">
        <v>0</v>
      </c>
      <c r="O745" t="n">
        <v>0</v>
      </c>
      <c r="P745" t="n">
        <v>0</v>
      </c>
      <c r="Q745" t="n">
        <v>0</v>
      </c>
      <c r="R745" s="2" t="inlineStr"/>
    </row>
    <row r="746" ht="15" customHeight="1">
      <c r="A746" t="inlineStr">
        <is>
          <t>A 11096-2025</t>
        </is>
      </c>
      <c r="B746" s="1" t="n">
        <v>45723.58140046296</v>
      </c>
      <c r="C746" s="1" t="n">
        <v>46046</v>
      </c>
      <c r="D746" t="inlineStr">
        <is>
          <t>JÄMTLANDS LÄN</t>
        </is>
      </c>
      <c r="E746" t="inlineStr">
        <is>
          <t>HÄRJEDALEN</t>
        </is>
      </c>
      <c r="G746" t="n">
        <v>3.3</v>
      </c>
      <c r="H746" t="n">
        <v>0</v>
      </c>
      <c r="I746" t="n">
        <v>0</v>
      </c>
      <c r="J746" t="n">
        <v>0</v>
      </c>
      <c r="K746" t="n">
        <v>0</v>
      </c>
      <c r="L746" t="n">
        <v>0</v>
      </c>
      <c r="M746" t="n">
        <v>0</v>
      </c>
      <c r="N746" t="n">
        <v>0</v>
      </c>
      <c r="O746" t="n">
        <v>0</v>
      </c>
      <c r="P746" t="n">
        <v>0</v>
      </c>
      <c r="Q746" t="n">
        <v>0</v>
      </c>
      <c r="R746" s="2" t="inlineStr"/>
    </row>
    <row r="747" ht="15" customHeight="1">
      <c r="A747" t="inlineStr">
        <is>
          <t>A 62104-2024</t>
        </is>
      </c>
      <c r="B747" s="1" t="n">
        <v>45656.51157407407</v>
      </c>
      <c r="C747" s="1" t="n">
        <v>46046</v>
      </c>
      <c r="D747" t="inlineStr">
        <is>
          <t>JÄMTLANDS LÄN</t>
        </is>
      </c>
      <c r="E747" t="inlineStr">
        <is>
          <t>HÄRJEDALEN</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45999-2023</t>
        </is>
      </c>
      <c r="B748" s="1" t="n">
        <v>45196</v>
      </c>
      <c r="C748" s="1" t="n">
        <v>46046</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64144-2023</t>
        </is>
      </c>
      <c r="B749" s="1" t="n">
        <v>45279.57732638889</v>
      </c>
      <c r="C749" s="1" t="n">
        <v>46046</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37638-2023</t>
        </is>
      </c>
      <c r="B750" s="1" t="n">
        <v>45159.46996527778</v>
      </c>
      <c r="C750" s="1" t="n">
        <v>46046</v>
      </c>
      <c r="D750" t="inlineStr">
        <is>
          <t>JÄMTLANDS LÄN</t>
        </is>
      </c>
      <c r="E750" t="inlineStr">
        <is>
          <t>HÄRJEDALEN</t>
        </is>
      </c>
      <c r="F750" t="inlineStr">
        <is>
          <t>Bergvik skog väst AB</t>
        </is>
      </c>
      <c r="G750" t="n">
        <v>4.3</v>
      </c>
      <c r="H750" t="n">
        <v>0</v>
      </c>
      <c r="I750" t="n">
        <v>0</v>
      </c>
      <c r="J750" t="n">
        <v>0</v>
      </c>
      <c r="K750" t="n">
        <v>0</v>
      </c>
      <c r="L750" t="n">
        <v>0</v>
      </c>
      <c r="M750" t="n">
        <v>0</v>
      </c>
      <c r="N750" t="n">
        <v>0</v>
      </c>
      <c r="O750" t="n">
        <v>0</v>
      </c>
      <c r="P750" t="n">
        <v>0</v>
      </c>
      <c r="Q750" t="n">
        <v>0</v>
      </c>
      <c r="R750" s="2" t="inlineStr"/>
    </row>
    <row r="751" ht="15" customHeight="1">
      <c r="A751" t="inlineStr">
        <is>
          <t>A 3425-2025</t>
        </is>
      </c>
      <c r="B751" s="1" t="n">
        <v>45680.42497685185</v>
      </c>
      <c r="C751" s="1" t="n">
        <v>46046</v>
      </c>
      <c r="D751" t="inlineStr">
        <is>
          <t>JÄMTLANDS LÄN</t>
        </is>
      </c>
      <c r="E751" t="inlineStr">
        <is>
          <t>HÄRJEDALEN</t>
        </is>
      </c>
      <c r="G751" t="n">
        <v>0.9</v>
      </c>
      <c r="H751" t="n">
        <v>0</v>
      </c>
      <c r="I751" t="n">
        <v>0</v>
      </c>
      <c r="J751" t="n">
        <v>0</v>
      </c>
      <c r="K751" t="n">
        <v>0</v>
      </c>
      <c r="L751" t="n">
        <v>0</v>
      </c>
      <c r="M751" t="n">
        <v>0</v>
      </c>
      <c r="N751" t="n">
        <v>0</v>
      </c>
      <c r="O751" t="n">
        <v>0</v>
      </c>
      <c r="P751" t="n">
        <v>0</v>
      </c>
      <c r="Q751" t="n">
        <v>0</v>
      </c>
      <c r="R751" s="2" t="inlineStr"/>
    </row>
    <row r="752" ht="15" customHeight="1">
      <c r="A752" t="inlineStr">
        <is>
          <t>A 57637-2024</t>
        </is>
      </c>
      <c r="B752" s="1" t="n">
        <v>45630.5731712963</v>
      </c>
      <c r="C752" s="1" t="n">
        <v>46046</v>
      </c>
      <c r="D752" t="inlineStr">
        <is>
          <t>JÄMTLANDS LÄN</t>
        </is>
      </c>
      <c r="E752" t="inlineStr">
        <is>
          <t>HÄRJEDALEN</t>
        </is>
      </c>
      <c r="F752" t="inlineStr">
        <is>
          <t>Bergvik skog väst AB</t>
        </is>
      </c>
      <c r="G752" t="n">
        <v>6.5</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46046</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43287-2024</t>
        </is>
      </c>
      <c r="B754" s="1" t="n">
        <v>45568</v>
      </c>
      <c r="C754" s="1" t="n">
        <v>46046</v>
      </c>
      <c r="D754" t="inlineStr">
        <is>
          <t>JÄMTLANDS LÄN</t>
        </is>
      </c>
      <c r="E754" t="inlineStr">
        <is>
          <t>HÄRJEDALEN</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60897-2022</t>
        </is>
      </c>
      <c r="B755" s="1" t="n">
        <v>44914</v>
      </c>
      <c r="C755" s="1" t="n">
        <v>46046</v>
      </c>
      <c r="D755" t="inlineStr">
        <is>
          <t>JÄMTLANDS LÄN</t>
        </is>
      </c>
      <c r="E755" t="inlineStr">
        <is>
          <t>HÄRJEDALEN</t>
        </is>
      </c>
      <c r="F755" t="inlineStr">
        <is>
          <t>Holmen skog AB</t>
        </is>
      </c>
      <c r="G755" t="n">
        <v>0.3</v>
      </c>
      <c r="H755" t="n">
        <v>0</v>
      </c>
      <c r="I755" t="n">
        <v>0</v>
      </c>
      <c r="J755" t="n">
        <v>0</v>
      </c>
      <c r="K755" t="n">
        <v>0</v>
      </c>
      <c r="L755" t="n">
        <v>0</v>
      </c>
      <c r="M755" t="n">
        <v>0</v>
      </c>
      <c r="N755" t="n">
        <v>0</v>
      </c>
      <c r="O755" t="n">
        <v>0</v>
      </c>
      <c r="P755" t="n">
        <v>0</v>
      </c>
      <c r="Q755" t="n">
        <v>0</v>
      </c>
      <c r="R755" s="2" t="inlineStr"/>
      <c r="U755">
        <f>HYPERLINK("https://klasma.github.io/Logging_2361/knärot/A 60897-2022 karta knärot.png", "A 60897-2022")</f>
        <v/>
      </c>
      <c r="V755">
        <f>HYPERLINK("https://klasma.github.io/Logging_2361/klagomål/A 60897-2022 FSC-klagomål.docx", "A 60897-2022")</f>
        <v/>
      </c>
      <c r="W755">
        <f>HYPERLINK("https://klasma.github.io/Logging_2361/klagomålsmail/A 60897-2022 FSC-klagomål mail.docx", "A 60897-2022")</f>
        <v/>
      </c>
      <c r="X755">
        <f>HYPERLINK("https://klasma.github.io/Logging_2361/tillsyn/A 60897-2022 tillsynsbegäran.docx", "A 60897-2022")</f>
        <v/>
      </c>
      <c r="Y755">
        <f>HYPERLINK("https://klasma.github.io/Logging_2361/tillsynsmail/A 60897-2022 tillsynsbegäran mail.docx", "A 60897-2022")</f>
        <v/>
      </c>
    </row>
    <row r="756" ht="15" customHeight="1">
      <c r="A756" t="inlineStr">
        <is>
          <t>A 33235-2025</t>
        </is>
      </c>
      <c r="B756" s="1" t="n">
        <v>45840.64394675926</v>
      </c>
      <c r="C756" s="1" t="n">
        <v>46046</v>
      </c>
      <c r="D756" t="inlineStr">
        <is>
          <t>JÄMTLANDS LÄN</t>
        </is>
      </c>
      <c r="E756" t="inlineStr">
        <is>
          <t>HÄRJEDALEN</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21778-2022</t>
        </is>
      </c>
      <c r="B757" s="1" t="n">
        <v>44708.48859953704</v>
      </c>
      <c r="C757" s="1" t="n">
        <v>46046</v>
      </c>
      <c r="D757" t="inlineStr">
        <is>
          <t>JÄMTLANDS LÄN</t>
        </is>
      </c>
      <c r="E757" t="inlineStr">
        <is>
          <t>HÄRJEDALEN</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48708-2023</t>
        </is>
      </c>
      <c r="B758" s="1" t="n">
        <v>45208</v>
      </c>
      <c r="C758" s="1" t="n">
        <v>46046</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32064-2024</t>
        </is>
      </c>
      <c r="B759" s="1" t="n">
        <v>45510</v>
      </c>
      <c r="C759" s="1" t="n">
        <v>46046</v>
      </c>
      <c r="D759" t="inlineStr">
        <is>
          <t>JÄMTLANDS LÄN</t>
        </is>
      </c>
      <c r="E759" t="inlineStr">
        <is>
          <t>HÄRJEDALEN</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60749-2023</t>
        </is>
      </c>
      <c r="B760" s="1" t="n">
        <v>45260.59042824074</v>
      </c>
      <c r="C760" s="1" t="n">
        <v>46046</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4711-2023</t>
        </is>
      </c>
      <c r="B761" s="1" t="n">
        <v>44957</v>
      </c>
      <c r="C761" s="1" t="n">
        <v>46046</v>
      </c>
      <c r="D761" t="inlineStr">
        <is>
          <t>JÄMTLANDS LÄN</t>
        </is>
      </c>
      <c r="E761" t="inlineStr">
        <is>
          <t>HÄRJEDALEN</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33690-2025</t>
        </is>
      </c>
      <c r="B762" s="1" t="n">
        <v>45841.69273148148</v>
      </c>
      <c r="C762" s="1" t="n">
        <v>46046</v>
      </c>
      <c r="D762" t="inlineStr">
        <is>
          <t>JÄMTLANDS LÄN</t>
        </is>
      </c>
      <c r="E762" t="inlineStr">
        <is>
          <t>HÄRJEDALEN</t>
        </is>
      </c>
      <c r="G762" t="n">
        <v>1.5</v>
      </c>
      <c r="H762" t="n">
        <v>0</v>
      </c>
      <c r="I762" t="n">
        <v>0</v>
      </c>
      <c r="J762" t="n">
        <v>0</v>
      </c>
      <c r="K762" t="n">
        <v>0</v>
      </c>
      <c r="L762" t="n">
        <v>0</v>
      </c>
      <c r="M762" t="n">
        <v>0</v>
      </c>
      <c r="N762" t="n">
        <v>0</v>
      </c>
      <c r="O762" t="n">
        <v>0</v>
      </c>
      <c r="P762" t="n">
        <v>0</v>
      </c>
      <c r="Q762" t="n">
        <v>0</v>
      </c>
      <c r="R762" s="2" t="inlineStr"/>
    </row>
    <row r="763" ht="15" customHeight="1">
      <c r="A763" t="inlineStr">
        <is>
          <t>A 33406-2025</t>
        </is>
      </c>
      <c r="B763" s="1" t="n">
        <v>45841.4312037037</v>
      </c>
      <c r="C763" s="1" t="n">
        <v>46046</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33447-2025</t>
        </is>
      </c>
      <c r="B764" s="1" t="n">
        <v>45841.46512731481</v>
      </c>
      <c r="C764" s="1" t="n">
        <v>46046</v>
      </c>
      <c r="D764" t="inlineStr">
        <is>
          <t>JÄMTLANDS LÄN</t>
        </is>
      </c>
      <c r="E764" t="inlineStr">
        <is>
          <t>HÄRJEDALEN</t>
        </is>
      </c>
      <c r="F764" t="inlineStr">
        <is>
          <t>Bergvik skog väst AB</t>
        </is>
      </c>
      <c r="G764" t="n">
        <v>3.5</v>
      </c>
      <c r="H764" t="n">
        <v>0</v>
      </c>
      <c r="I764" t="n">
        <v>0</v>
      </c>
      <c r="J764" t="n">
        <v>0</v>
      </c>
      <c r="K764" t="n">
        <v>0</v>
      </c>
      <c r="L764" t="n">
        <v>0</v>
      </c>
      <c r="M764" t="n">
        <v>0</v>
      </c>
      <c r="N764" t="n">
        <v>0</v>
      </c>
      <c r="O764" t="n">
        <v>0</v>
      </c>
      <c r="P764" t="n">
        <v>0</v>
      </c>
      <c r="Q764" t="n">
        <v>0</v>
      </c>
      <c r="R764" s="2" t="inlineStr"/>
    </row>
    <row r="765" ht="15" customHeight="1">
      <c r="A765" t="inlineStr">
        <is>
          <t>A 33438-2025</t>
        </is>
      </c>
      <c r="B765" s="1" t="n">
        <v>45841.45137731481</v>
      </c>
      <c r="C765" s="1" t="n">
        <v>46046</v>
      </c>
      <c r="D765" t="inlineStr">
        <is>
          <t>JÄMTLANDS LÄN</t>
        </is>
      </c>
      <c r="E765" t="inlineStr">
        <is>
          <t>HÄRJEDALEN</t>
        </is>
      </c>
      <c r="G765" t="n">
        <v>2</v>
      </c>
      <c r="H765" t="n">
        <v>0</v>
      </c>
      <c r="I765" t="n">
        <v>0</v>
      </c>
      <c r="J765" t="n">
        <v>0</v>
      </c>
      <c r="K765" t="n">
        <v>0</v>
      </c>
      <c r="L765" t="n">
        <v>0</v>
      </c>
      <c r="M765" t="n">
        <v>0</v>
      </c>
      <c r="N765" t="n">
        <v>0</v>
      </c>
      <c r="O765" t="n">
        <v>0</v>
      </c>
      <c r="P765" t="n">
        <v>0</v>
      </c>
      <c r="Q765" t="n">
        <v>0</v>
      </c>
      <c r="R765" s="2" t="inlineStr"/>
    </row>
    <row r="766" ht="15" customHeight="1">
      <c r="A766" t="inlineStr">
        <is>
          <t>A 34254-2025</t>
        </is>
      </c>
      <c r="B766" s="1" t="n">
        <v>45845.6920949074</v>
      </c>
      <c r="C766" s="1" t="n">
        <v>46046</v>
      </c>
      <c r="D766" t="inlineStr">
        <is>
          <t>JÄMTLANDS LÄN</t>
        </is>
      </c>
      <c r="E766" t="inlineStr">
        <is>
          <t>HÄRJEDALEN</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23185-2023</t>
        </is>
      </c>
      <c r="B767" s="1" t="n">
        <v>45075.59148148148</v>
      </c>
      <c r="C767" s="1" t="n">
        <v>46046</v>
      </c>
      <c r="D767" t="inlineStr">
        <is>
          <t>JÄMTLANDS LÄN</t>
        </is>
      </c>
      <c r="E767" t="inlineStr">
        <is>
          <t>HÄRJEDALEN</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14368-2025</t>
        </is>
      </c>
      <c r="B768" s="1" t="n">
        <v>45741.39084490741</v>
      </c>
      <c r="C768" s="1" t="n">
        <v>46046</v>
      </c>
      <c r="D768" t="inlineStr">
        <is>
          <t>JÄMTLANDS LÄN</t>
        </is>
      </c>
      <c r="E768" t="inlineStr">
        <is>
          <t>HÄRJEDALEN</t>
        </is>
      </c>
      <c r="G768" t="n">
        <v>6.5</v>
      </c>
      <c r="H768" t="n">
        <v>0</v>
      </c>
      <c r="I768" t="n">
        <v>0</v>
      </c>
      <c r="J768" t="n">
        <v>0</v>
      </c>
      <c r="K768" t="n">
        <v>0</v>
      </c>
      <c r="L768" t="n">
        <v>0</v>
      </c>
      <c r="M768" t="n">
        <v>0</v>
      </c>
      <c r="N768" t="n">
        <v>0</v>
      </c>
      <c r="O768" t="n">
        <v>0</v>
      </c>
      <c r="P768" t="n">
        <v>0</v>
      </c>
      <c r="Q768" t="n">
        <v>0</v>
      </c>
      <c r="R768" s="2" t="inlineStr"/>
    </row>
    <row r="769" ht="15" customHeight="1">
      <c r="A769" t="inlineStr">
        <is>
          <t>A 4590-2025</t>
        </is>
      </c>
      <c r="B769" s="1" t="n">
        <v>45687.53689814815</v>
      </c>
      <c r="C769" s="1" t="n">
        <v>46046</v>
      </c>
      <c r="D769" t="inlineStr">
        <is>
          <t>JÄMTLANDS LÄN</t>
        </is>
      </c>
      <c r="E769" t="inlineStr">
        <is>
          <t>HÄRJEDALEN</t>
        </is>
      </c>
      <c r="G769" t="n">
        <v>3.6</v>
      </c>
      <c r="H769" t="n">
        <v>0</v>
      </c>
      <c r="I769" t="n">
        <v>0</v>
      </c>
      <c r="J769" t="n">
        <v>0</v>
      </c>
      <c r="K769" t="n">
        <v>0</v>
      </c>
      <c r="L769" t="n">
        <v>0</v>
      </c>
      <c r="M769" t="n">
        <v>0</v>
      </c>
      <c r="N769" t="n">
        <v>0</v>
      </c>
      <c r="O769" t="n">
        <v>0</v>
      </c>
      <c r="P769" t="n">
        <v>0</v>
      </c>
      <c r="Q769" t="n">
        <v>0</v>
      </c>
      <c r="R769" s="2" t="inlineStr"/>
    </row>
    <row r="770" ht="15" customHeight="1">
      <c r="A770" t="inlineStr">
        <is>
          <t>A 26656-2021</t>
        </is>
      </c>
      <c r="B770" s="1" t="n">
        <v>44348</v>
      </c>
      <c r="C770" s="1" t="n">
        <v>46046</v>
      </c>
      <c r="D770" t="inlineStr">
        <is>
          <t>JÄMTLANDS LÄN</t>
        </is>
      </c>
      <c r="E770" t="inlineStr">
        <is>
          <t>HÄRJEDALEN</t>
        </is>
      </c>
      <c r="G770" t="n">
        <v>1.6</v>
      </c>
      <c r="H770" t="n">
        <v>0</v>
      </c>
      <c r="I770" t="n">
        <v>0</v>
      </c>
      <c r="J770" t="n">
        <v>0</v>
      </c>
      <c r="K770" t="n">
        <v>0</v>
      </c>
      <c r="L770" t="n">
        <v>0</v>
      </c>
      <c r="M770" t="n">
        <v>0</v>
      </c>
      <c r="N770" t="n">
        <v>0</v>
      </c>
      <c r="O770" t="n">
        <v>0</v>
      </c>
      <c r="P770" t="n">
        <v>0</v>
      </c>
      <c r="Q770" t="n">
        <v>0</v>
      </c>
      <c r="R770" s="2" t="inlineStr"/>
    </row>
    <row r="771" ht="15" customHeight="1">
      <c r="A771" t="inlineStr">
        <is>
          <t>A 34144-2025</t>
        </is>
      </c>
      <c r="B771" s="1" t="n">
        <v>45845.55270833334</v>
      </c>
      <c r="C771" s="1" t="n">
        <v>46046</v>
      </c>
      <c r="D771" t="inlineStr">
        <is>
          <t>JÄMTLANDS LÄN</t>
        </is>
      </c>
      <c r="E771" t="inlineStr">
        <is>
          <t>HÄRJEDALEN</t>
        </is>
      </c>
      <c r="G771" t="n">
        <v>8.5</v>
      </c>
      <c r="H771" t="n">
        <v>0</v>
      </c>
      <c r="I771" t="n">
        <v>0</v>
      </c>
      <c r="J771" t="n">
        <v>0</v>
      </c>
      <c r="K771" t="n">
        <v>0</v>
      </c>
      <c r="L771" t="n">
        <v>0</v>
      </c>
      <c r="M771" t="n">
        <v>0</v>
      </c>
      <c r="N771" t="n">
        <v>0</v>
      </c>
      <c r="O771" t="n">
        <v>0</v>
      </c>
      <c r="P771" t="n">
        <v>0</v>
      </c>
      <c r="Q771" t="n">
        <v>0</v>
      </c>
      <c r="R771" s="2" t="inlineStr"/>
    </row>
    <row r="772" ht="15" customHeight="1">
      <c r="A772" t="inlineStr">
        <is>
          <t>A 55669-2024</t>
        </is>
      </c>
      <c r="B772" s="1" t="n">
        <v>45622.64627314815</v>
      </c>
      <c r="C772" s="1" t="n">
        <v>46046</v>
      </c>
      <c r="D772" t="inlineStr">
        <is>
          <t>JÄMTLANDS LÄN</t>
        </is>
      </c>
      <c r="E772" t="inlineStr">
        <is>
          <t>HÄRJEDALEN</t>
        </is>
      </c>
      <c r="G772" t="n">
        <v>1.7</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46046</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33845-2025</t>
        </is>
      </c>
      <c r="B774" s="1" t="n">
        <v>45842.48990740741</v>
      </c>
      <c r="C774" s="1" t="n">
        <v>46046</v>
      </c>
      <c r="D774" t="inlineStr">
        <is>
          <t>JÄMTLANDS LÄN</t>
        </is>
      </c>
      <c r="E774" t="inlineStr">
        <is>
          <t>HÄRJEDALEN</t>
        </is>
      </c>
      <c r="G774" t="n">
        <v>0.9</v>
      </c>
      <c r="H774" t="n">
        <v>0</v>
      </c>
      <c r="I774" t="n">
        <v>0</v>
      </c>
      <c r="J774" t="n">
        <v>0</v>
      </c>
      <c r="K774" t="n">
        <v>0</v>
      </c>
      <c r="L774" t="n">
        <v>0</v>
      </c>
      <c r="M774" t="n">
        <v>0</v>
      </c>
      <c r="N774" t="n">
        <v>0</v>
      </c>
      <c r="O774" t="n">
        <v>0</v>
      </c>
      <c r="P774" t="n">
        <v>0</v>
      </c>
      <c r="Q774" t="n">
        <v>0</v>
      </c>
      <c r="R774" s="2" t="inlineStr"/>
    </row>
    <row r="775" ht="15" customHeight="1">
      <c r="A775" t="inlineStr">
        <is>
          <t>A 40596-2022</t>
        </is>
      </c>
      <c r="B775" s="1" t="n">
        <v>44823.84673611111</v>
      </c>
      <c r="C775" s="1" t="n">
        <v>46046</v>
      </c>
      <c r="D775" t="inlineStr">
        <is>
          <t>JÄMTLANDS LÄN</t>
        </is>
      </c>
      <c r="E775" t="inlineStr">
        <is>
          <t>HÄRJEDALEN</t>
        </is>
      </c>
      <c r="G775" t="n">
        <v>2.9</v>
      </c>
      <c r="H775" t="n">
        <v>0</v>
      </c>
      <c r="I775" t="n">
        <v>0</v>
      </c>
      <c r="J775" t="n">
        <v>0</v>
      </c>
      <c r="K775" t="n">
        <v>0</v>
      </c>
      <c r="L775" t="n">
        <v>0</v>
      </c>
      <c r="M775" t="n">
        <v>0</v>
      </c>
      <c r="N775" t="n">
        <v>0</v>
      </c>
      <c r="O775" t="n">
        <v>0</v>
      </c>
      <c r="P775" t="n">
        <v>0</v>
      </c>
      <c r="Q775" t="n">
        <v>0</v>
      </c>
      <c r="R775" s="2" t="inlineStr"/>
    </row>
    <row r="776" ht="15" customHeight="1">
      <c r="A776" t="inlineStr">
        <is>
          <t>A 34142-2025</t>
        </is>
      </c>
      <c r="B776" s="1" t="n">
        <v>45845.55259259259</v>
      </c>
      <c r="C776" s="1" t="n">
        <v>46046</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34143-2025</t>
        </is>
      </c>
      <c r="B777" s="1" t="n">
        <v>45845.55266203704</v>
      </c>
      <c r="C777" s="1" t="n">
        <v>46046</v>
      </c>
      <c r="D777" t="inlineStr">
        <is>
          <t>JÄMTLANDS LÄN</t>
        </is>
      </c>
      <c r="E777" t="inlineStr">
        <is>
          <t>HÄRJEDALEN</t>
        </is>
      </c>
      <c r="G777" t="n">
        <v>5.9</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46046</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46046</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34570-2025</t>
        </is>
      </c>
      <c r="B780" s="1" t="n">
        <v>45847.58865740741</v>
      </c>
      <c r="C780" s="1" t="n">
        <v>46046</v>
      </c>
      <c r="D780" t="inlineStr">
        <is>
          <t>JÄMTLANDS LÄN</t>
        </is>
      </c>
      <c r="E780" t="inlineStr">
        <is>
          <t>HÄRJEDALEN</t>
        </is>
      </c>
      <c r="F780" t="inlineStr">
        <is>
          <t>Bergvik skog väst AB</t>
        </is>
      </c>
      <c r="G780" t="n">
        <v>19.1</v>
      </c>
      <c r="H780" t="n">
        <v>0</v>
      </c>
      <c r="I780" t="n">
        <v>0</v>
      </c>
      <c r="J780" t="n">
        <v>0</v>
      </c>
      <c r="K780" t="n">
        <v>0</v>
      </c>
      <c r="L780" t="n">
        <v>0</v>
      </c>
      <c r="M780" t="n">
        <v>0</v>
      </c>
      <c r="N780" t="n">
        <v>0</v>
      </c>
      <c r="O780" t="n">
        <v>0</v>
      </c>
      <c r="P780" t="n">
        <v>0</v>
      </c>
      <c r="Q780" t="n">
        <v>0</v>
      </c>
      <c r="R780" s="2" t="inlineStr"/>
    </row>
    <row r="781" ht="15" customHeight="1">
      <c r="A781" t="inlineStr">
        <is>
          <t>A 11528-2022</t>
        </is>
      </c>
      <c r="B781" s="1" t="n">
        <v>44631.37701388889</v>
      </c>
      <c r="C781" s="1" t="n">
        <v>46046</v>
      </c>
      <c r="D781" t="inlineStr">
        <is>
          <t>JÄMTLANDS LÄN</t>
        </is>
      </c>
      <c r="E781" t="inlineStr">
        <is>
          <t>HÄRJEDALEN</t>
        </is>
      </c>
      <c r="F781" t="inlineStr">
        <is>
          <t>Holmen skog AB</t>
        </is>
      </c>
      <c r="G781" t="n">
        <v>6.1</v>
      </c>
      <c r="H781" t="n">
        <v>0</v>
      </c>
      <c r="I781" t="n">
        <v>0</v>
      </c>
      <c r="J781" t="n">
        <v>0</v>
      </c>
      <c r="K781" t="n">
        <v>0</v>
      </c>
      <c r="L781" t="n">
        <v>0</v>
      </c>
      <c r="M781" t="n">
        <v>0</v>
      </c>
      <c r="N781" t="n">
        <v>0</v>
      </c>
      <c r="O781" t="n">
        <v>0</v>
      </c>
      <c r="P781" t="n">
        <v>0</v>
      </c>
      <c r="Q781" t="n">
        <v>0</v>
      </c>
      <c r="R781" s="2" t="inlineStr"/>
    </row>
    <row r="782" ht="15" customHeight="1">
      <c r="A782" t="inlineStr">
        <is>
          <t>A 48213-2023</t>
        </is>
      </c>
      <c r="B782" s="1" t="n">
        <v>45205</v>
      </c>
      <c r="C782" s="1" t="n">
        <v>46046</v>
      </c>
      <c r="D782" t="inlineStr">
        <is>
          <t>JÄMTLANDS LÄN</t>
        </is>
      </c>
      <c r="E782" t="inlineStr">
        <is>
          <t>HÄRJEDALEN</t>
        </is>
      </c>
      <c r="G782" t="n">
        <v>12.2</v>
      </c>
      <c r="H782" t="n">
        <v>0</v>
      </c>
      <c r="I782" t="n">
        <v>0</v>
      </c>
      <c r="J782" t="n">
        <v>0</v>
      </c>
      <c r="K782" t="n">
        <v>0</v>
      </c>
      <c r="L782" t="n">
        <v>0</v>
      </c>
      <c r="M782" t="n">
        <v>0</v>
      </c>
      <c r="N782" t="n">
        <v>0</v>
      </c>
      <c r="O782" t="n">
        <v>0</v>
      </c>
      <c r="P782" t="n">
        <v>0</v>
      </c>
      <c r="Q782" t="n">
        <v>0</v>
      </c>
      <c r="R782" s="2" t="inlineStr"/>
    </row>
    <row r="783" ht="15" customHeight="1">
      <c r="A783" t="inlineStr">
        <is>
          <t>A 36568-2023</t>
        </is>
      </c>
      <c r="B783" s="1" t="n">
        <v>45153.42725694444</v>
      </c>
      <c r="C783" s="1" t="n">
        <v>46046</v>
      </c>
      <c r="D783" t="inlineStr">
        <is>
          <t>JÄMTLANDS LÄN</t>
        </is>
      </c>
      <c r="E783" t="inlineStr">
        <is>
          <t>HÄRJEDALEN</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62708-2022</t>
        </is>
      </c>
      <c r="B784" s="1" t="n">
        <v>44925.60457175926</v>
      </c>
      <c r="C784" s="1" t="n">
        <v>46046</v>
      </c>
      <c r="D784" t="inlineStr">
        <is>
          <t>JÄMTLANDS LÄN</t>
        </is>
      </c>
      <c r="E784" t="inlineStr">
        <is>
          <t>HÄRJEDALEN</t>
        </is>
      </c>
      <c r="F784" t="inlineStr">
        <is>
          <t>Holmen skog AB</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34691-2025</t>
        </is>
      </c>
      <c r="B785" s="1" t="n">
        <v>45848.45113425926</v>
      </c>
      <c r="C785" s="1" t="n">
        <v>46046</v>
      </c>
      <c r="D785" t="inlineStr">
        <is>
          <t>JÄMTLANDS LÄN</t>
        </is>
      </c>
      <c r="E785" t="inlineStr">
        <is>
          <t>HÄRJEDALEN</t>
        </is>
      </c>
      <c r="F785" t="inlineStr">
        <is>
          <t>Bergvik skog väst AB</t>
        </is>
      </c>
      <c r="G785" t="n">
        <v>6.1</v>
      </c>
      <c r="H785" t="n">
        <v>0</v>
      </c>
      <c r="I785" t="n">
        <v>0</v>
      </c>
      <c r="J785" t="n">
        <v>0</v>
      </c>
      <c r="K785" t="n">
        <v>0</v>
      </c>
      <c r="L785" t="n">
        <v>0</v>
      </c>
      <c r="M785" t="n">
        <v>0</v>
      </c>
      <c r="N785" t="n">
        <v>0</v>
      </c>
      <c r="O785" t="n">
        <v>0</v>
      </c>
      <c r="P785" t="n">
        <v>0</v>
      </c>
      <c r="Q785" t="n">
        <v>0</v>
      </c>
      <c r="R785" s="2" t="inlineStr"/>
    </row>
    <row r="786" ht="15" customHeight="1">
      <c r="A786" t="inlineStr">
        <is>
          <t>A 62724-2022</t>
        </is>
      </c>
      <c r="B786" s="1" t="n">
        <v>44925.64309027778</v>
      </c>
      <c r="C786" s="1" t="n">
        <v>46046</v>
      </c>
      <c r="D786" t="inlineStr">
        <is>
          <t>JÄMTLANDS LÄN</t>
        </is>
      </c>
      <c r="E786" t="inlineStr">
        <is>
          <t>HÄRJEDALEN</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35-2023</t>
        </is>
      </c>
      <c r="B787" s="1" t="n">
        <v>44928.36418981481</v>
      </c>
      <c r="C787" s="1" t="n">
        <v>46046</v>
      </c>
      <c r="D787" t="inlineStr">
        <is>
          <t>JÄMTLANDS LÄN</t>
        </is>
      </c>
      <c r="E787" t="inlineStr">
        <is>
          <t>HÄRJEDALEN</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34767-2025</t>
        </is>
      </c>
      <c r="B788" s="1" t="n">
        <v>45848.65003472222</v>
      </c>
      <c r="C788" s="1" t="n">
        <v>46046</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34807-2025</t>
        </is>
      </c>
      <c r="B789" s="1" t="n">
        <v>45849</v>
      </c>
      <c r="C789" s="1" t="n">
        <v>46046</v>
      </c>
      <c r="D789" t="inlineStr">
        <is>
          <t>JÄMTLANDS LÄN</t>
        </is>
      </c>
      <c r="E789" t="inlineStr">
        <is>
          <t>HÄRJEDALEN</t>
        </is>
      </c>
      <c r="G789" t="n">
        <v>6.6</v>
      </c>
      <c r="H789" t="n">
        <v>0</v>
      </c>
      <c r="I789" t="n">
        <v>0</v>
      </c>
      <c r="J789" t="n">
        <v>0</v>
      </c>
      <c r="K789" t="n">
        <v>0</v>
      </c>
      <c r="L789" t="n">
        <v>0</v>
      </c>
      <c r="M789" t="n">
        <v>0</v>
      </c>
      <c r="N789" t="n">
        <v>0</v>
      </c>
      <c r="O789" t="n">
        <v>0</v>
      </c>
      <c r="P789" t="n">
        <v>0</v>
      </c>
      <c r="Q789" t="n">
        <v>0</v>
      </c>
      <c r="R789" s="2" t="inlineStr"/>
    </row>
    <row r="790" ht="15" customHeight="1">
      <c r="A790" t="inlineStr">
        <is>
          <t>A 34702-2025</t>
        </is>
      </c>
      <c r="B790" s="1" t="n">
        <v>45848</v>
      </c>
      <c r="C790" s="1" t="n">
        <v>46046</v>
      </c>
      <c r="D790" t="inlineStr">
        <is>
          <t>JÄMTLANDS LÄN</t>
        </is>
      </c>
      <c r="E790" t="inlineStr">
        <is>
          <t>HÄRJEDALEN</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34726-2025</t>
        </is>
      </c>
      <c r="B791" s="1" t="n">
        <v>45848.57644675926</v>
      </c>
      <c r="C791" s="1" t="n">
        <v>46046</v>
      </c>
      <c r="D791" t="inlineStr">
        <is>
          <t>JÄMTLANDS LÄN</t>
        </is>
      </c>
      <c r="E791" t="inlineStr">
        <is>
          <t>HÄRJEDALEN</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34775-2025</t>
        </is>
      </c>
      <c r="B792" s="1" t="n">
        <v>45848.6568287037</v>
      </c>
      <c r="C792" s="1" t="n">
        <v>46046</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34790-2025</t>
        </is>
      </c>
      <c r="B793" s="1" t="n">
        <v>45848.68640046296</v>
      </c>
      <c r="C793" s="1" t="n">
        <v>46046</v>
      </c>
      <c r="D793" t="inlineStr">
        <is>
          <t>JÄMTLANDS LÄN</t>
        </is>
      </c>
      <c r="E793" t="inlineStr">
        <is>
          <t>HÄRJEDALEN</t>
        </is>
      </c>
      <c r="F793" t="inlineStr">
        <is>
          <t>Bergvik skog väst AB</t>
        </is>
      </c>
      <c r="G793" t="n">
        <v>32.2</v>
      </c>
      <c r="H793" t="n">
        <v>0</v>
      </c>
      <c r="I793" t="n">
        <v>0</v>
      </c>
      <c r="J793" t="n">
        <v>0</v>
      </c>
      <c r="K793" t="n">
        <v>0</v>
      </c>
      <c r="L793" t="n">
        <v>0</v>
      </c>
      <c r="M793" t="n">
        <v>0</v>
      </c>
      <c r="N793" t="n">
        <v>0</v>
      </c>
      <c r="O793" t="n">
        <v>0</v>
      </c>
      <c r="P793" t="n">
        <v>0</v>
      </c>
      <c r="Q793" t="n">
        <v>0</v>
      </c>
      <c r="R793" s="2" t="inlineStr"/>
    </row>
    <row r="794" ht="15" customHeight="1">
      <c r="A794" t="inlineStr">
        <is>
          <t>A 34757-2025</t>
        </is>
      </c>
      <c r="B794" s="1" t="n">
        <v>45848.62873842593</v>
      </c>
      <c r="C794" s="1" t="n">
        <v>46046</v>
      </c>
      <c r="D794" t="inlineStr">
        <is>
          <t>JÄMTLANDS LÄN</t>
        </is>
      </c>
      <c r="E794" t="inlineStr">
        <is>
          <t>HÄRJEDALEN</t>
        </is>
      </c>
      <c r="G794" t="n">
        <v>19.6</v>
      </c>
      <c r="H794" t="n">
        <v>0</v>
      </c>
      <c r="I794" t="n">
        <v>0</v>
      </c>
      <c r="J794" t="n">
        <v>0</v>
      </c>
      <c r="K794" t="n">
        <v>0</v>
      </c>
      <c r="L794" t="n">
        <v>0</v>
      </c>
      <c r="M794" t="n">
        <v>0</v>
      </c>
      <c r="N794" t="n">
        <v>0</v>
      </c>
      <c r="O794" t="n">
        <v>0</v>
      </c>
      <c r="P794" t="n">
        <v>0</v>
      </c>
      <c r="Q794" t="n">
        <v>0</v>
      </c>
      <c r="R794" s="2" t="inlineStr"/>
    </row>
    <row r="795" ht="15" customHeight="1">
      <c r="A795" t="inlineStr">
        <is>
          <t>A 34761-2025</t>
        </is>
      </c>
      <c r="B795" s="1" t="n">
        <v>45848.639375</v>
      </c>
      <c r="C795" s="1" t="n">
        <v>46046</v>
      </c>
      <c r="D795" t="inlineStr">
        <is>
          <t>JÄMTLANDS LÄN</t>
        </is>
      </c>
      <c r="E795" t="inlineStr">
        <is>
          <t>HÄRJEDALEN</t>
        </is>
      </c>
      <c r="G795" t="n">
        <v>5.6</v>
      </c>
      <c r="H795" t="n">
        <v>0</v>
      </c>
      <c r="I795" t="n">
        <v>0</v>
      </c>
      <c r="J795" t="n">
        <v>0</v>
      </c>
      <c r="K795" t="n">
        <v>0</v>
      </c>
      <c r="L795" t="n">
        <v>0</v>
      </c>
      <c r="M795" t="n">
        <v>0</v>
      </c>
      <c r="N795" t="n">
        <v>0</v>
      </c>
      <c r="O795" t="n">
        <v>0</v>
      </c>
      <c r="P795" t="n">
        <v>0</v>
      </c>
      <c r="Q795" t="n">
        <v>0</v>
      </c>
      <c r="R795" s="2" t="inlineStr"/>
    </row>
    <row r="796" ht="15" customHeight="1">
      <c r="A796" t="inlineStr">
        <is>
          <t>A 34653-2025</t>
        </is>
      </c>
      <c r="B796" s="1" t="n">
        <v>45848.35400462963</v>
      </c>
      <c r="C796" s="1" t="n">
        <v>46046</v>
      </c>
      <c r="D796" t="inlineStr">
        <is>
          <t>JÄMTLANDS LÄN</t>
        </is>
      </c>
      <c r="E796" t="inlineStr">
        <is>
          <t>HÄRJEDALEN</t>
        </is>
      </c>
      <c r="G796" t="n">
        <v>26.8</v>
      </c>
      <c r="H796" t="n">
        <v>0</v>
      </c>
      <c r="I796" t="n">
        <v>0</v>
      </c>
      <c r="J796" t="n">
        <v>0</v>
      </c>
      <c r="K796" t="n">
        <v>0</v>
      </c>
      <c r="L796" t="n">
        <v>0</v>
      </c>
      <c r="M796" t="n">
        <v>0</v>
      </c>
      <c r="N796" t="n">
        <v>0</v>
      </c>
      <c r="O796" t="n">
        <v>0</v>
      </c>
      <c r="P796" t="n">
        <v>0</v>
      </c>
      <c r="Q796" t="n">
        <v>0</v>
      </c>
      <c r="R796" s="2" t="inlineStr"/>
    </row>
    <row r="797" ht="15" customHeight="1">
      <c r="A797" t="inlineStr">
        <is>
          <t>A 5098-2025</t>
        </is>
      </c>
      <c r="B797" s="1" t="n">
        <v>45691</v>
      </c>
      <c r="C797" s="1" t="n">
        <v>46046</v>
      </c>
      <c r="D797" t="inlineStr">
        <is>
          <t>JÄMTLANDS LÄN</t>
        </is>
      </c>
      <c r="E797" t="inlineStr">
        <is>
          <t>HÄRJEDALEN</t>
        </is>
      </c>
      <c r="F797" t="inlineStr">
        <is>
          <t>Holmen skog AB</t>
        </is>
      </c>
      <c r="G797" t="n">
        <v>15.2</v>
      </c>
      <c r="H797" t="n">
        <v>0</v>
      </c>
      <c r="I797" t="n">
        <v>0</v>
      </c>
      <c r="J797" t="n">
        <v>0</v>
      </c>
      <c r="K797" t="n">
        <v>0</v>
      </c>
      <c r="L797" t="n">
        <v>0</v>
      </c>
      <c r="M797" t="n">
        <v>0</v>
      </c>
      <c r="N797" t="n">
        <v>0</v>
      </c>
      <c r="O797" t="n">
        <v>0</v>
      </c>
      <c r="P797" t="n">
        <v>0</v>
      </c>
      <c r="Q797" t="n">
        <v>0</v>
      </c>
      <c r="R797" s="2" t="inlineStr"/>
    </row>
    <row r="798" ht="15" customHeight="1">
      <c r="A798" t="inlineStr">
        <is>
          <t>A 5102-2025</t>
        </is>
      </c>
      <c r="B798" s="1" t="n">
        <v>45691</v>
      </c>
      <c r="C798" s="1" t="n">
        <v>46046</v>
      </c>
      <c r="D798" t="inlineStr">
        <is>
          <t>JÄMTLANDS LÄN</t>
        </is>
      </c>
      <c r="E798" t="inlineStr">
        <is>
          <t>HÄRJEDALEN</t>
        </is>
      </c>
      <c r="F798" t="inlineStr">
        <is>
          <t>Holmen skog AB</t>
        </is>
      </c>
      <c r="G798" t="n">
        <v>19.3</v>
      </c>
      <c r="H798" t="n">
        <v>0</v>
      </c>
      <c r="I798" t="n">
        <v>0</v>
      </c>
      <c r="J798" t="n">
        <v>0</v>
      </c>
      <c r="K798" t="n">
        <v>0</v>
      </c>
      <c r="L798" t="n">
        <v>0</v>
      </c>
      <c r="M798" t="n">
        <v>0</v>
      </c>
      <c r="N798" t="n">
        <v>0</v>
      </c>
      <c r="O798" t="n">
        <v>0</v>
      </c>
      <c r="P798" t="n">
        <v>0</v>
      </c>
      <c r="Q798" t="n">
        <v>0</v>
      </c>
      <c r="R798" s="2" t="inlineStr"/>
    </row>
    <row r="799" ht="15" customHeight="1">
      <c r="A799" t="inlineStr">
        <is>
          <t>A 37719-2023</t>
        </is>
      </c>
      <c r="B799" s="1" t="n">
        <v>45159.60288194445</v>
      </c>
      <c r="C799" s="1" t="n">
        <v>46046</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16535-2024</t>
        </is>
      </c>
      <c r="B800" s="1" t="n">
        <v>45408</v>
      </c>
      <c r="C800" s="1" t="n">
        <v>46046</v>
      </c>
      <c r="D800" t="inlineStr">
        <is>
          <t>JÄMTLANDS LÄN</t>
        </is>
      </c>
      <c r="E800" t="inlineStr">
        <is>
          <t>HÄRJEDALEN</t>
        </is>
      </c>
      <c r="G800" t="n">
        <v>3.7</v>
      </c>
      <c r="H800" t="n">
        <v>0</v>
      </c>
      <c r="I800" t="n">
        <v>0</v>
      </c>
      <c r="J800" t="n">
        <v>0</v>
      </c>
      <c r="K800" t="n">
        <v>0</v>
      </c>
      <c r="L800" t="n">
        <v>0</v>
      </c>
      <c r="M800" t="n">
        <v>0</v>
      </c>
      <c r="N800" t="n">
        <v>0</v>
      </c>
      <c r="O800" t="n">
        <v>0</v>
      </c>
      <c r="P800" t="n">
        <v>0</v>
      </c>
      <c r="Q800" t="n">
        <v>0</v>
      </c>
      <c r="R800" s="2" t="inlineStr"/>
    </row>
    <row r="801" ht="15" customHeight="1">
      <c r="A801" t="inlineStr">
        <is>
          <t>A 31764-2024</t>
        </is>
      </c>
      <c r="B801" s="1" t="n">
        <v>45509</v>
      </c>
      <c r="C801" s="1" t="n">
        <v>46046</v>
      </c>
      <c r="D801" t="inlineStr">
        <is>
          <t>JÄMTLANDS LÄN</t>
        </is>
      </c>
      <c r="E801" t="inlineStr">
        <is>
          <t>HÄRJEDALEN</t>
        </is>
      </c>
      <c r="F801" t="inlineStr">
        <is>
          <t>Övriga statliga verk och myndigheter</t>
        </is>
      </c>
      <c r="G801" t="n">
        <v>1.1</v>
      </c>
      <c r="H801" t="n">
        <v>0</v>
      </c>
      <c r="I801" t="n">
        <v>0</v>
      </c>
      <c r="J801" t="n">
        <v>0</v>
      </c>
      <c r="K801" t="n">
        <v>0</v>
      </c>
      <c r="L801" t="n">
        <v>0</v>
      </c>
      <c r="M801" t="n">
        <v>0</v>
      </c>
      <c r="N801" t="n">
        <v>0</v>
      </c>
      <c r="O801" t="n">
        <v>0</v>
      </c>
      <c r="P801" t="n">
        <v>0</v>
      </c>
      <c r="Q801" t="n">
        <v>0</v>
      </c>
      <c r="R801" s="2" t="inlineStr"/>
    </row>
    <row r="802" ht="15" customHeight="1">
      <c r="A802" t="inlineStr">
        <is>
          <t>A 18546-2025</t>
        </is>
      </c>
      <c r="B802" s="1" t="n">
        <v>45763.4266087963</v>
      </c>
      <c r="C802" s="1" t="n">
        <v>46046</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21531-2023</t>
        </is>
      </c>
      <c r="B803" s="1" t="n">
        <v>45063</v>
      </c>
      <c r="C803" s="1" t="n">
        <v>46046</v>
      </c>
      <c r="D803" t="inlineStr">
        <is>
          <t>JÄMTLANDS LÄN</t>
        </is>
      </c>
      <c r="E803" t="inlineStr">
        <is>
          <t>HÄRJEDALEN</t>
        </is>
      </c>
      <c r="G803" t="n">
        <v>14.6</v>
      </c>
      <c r="H803" t="n">
        <v>0</v>
      </c>
      <c r="I803" t="n">
        <v>0</v>
      </c>
      <c r="J803" t="n">
        <v>0</v>
      </c>
      <c r="K803" t="n">
        <v>0</v>
      </c>
      <c r="L803" t="n">
        <v>0</v>
      </c>
      <c r="M803" t="n">
        <v>0</v>
      </c>
      <c r="N803" t="n">
        <v>0</v>
      </c>
      <c r="O803" t="n">
        <v>0</v>
      </c>
      <c r="P803" t="n">
        <v>0</v>
      </c>
      <c r="Q803" t="n">
        <v>0</v>
      </c>
      <c r="R803" s="2" t="inlineStr"/>
    </row>
    <row r="804" ht="15" customHeight="1">
      <c r="A804" t="inlineStr">
        <is>
          <t>A 35182-2025</t>
        </is>
      </c>
      <c r="B804" s="1" t="n">
        <v>45853.28325231482</v>
      </c>
      <c r="C804" s="1" t="n">
        <v>46046</v>
      </c>
      <c r="D804" t="inlineStr">
        <is>
          <t>JÄMTLANDS LÄN</t>
        </is>
      </c>
      <c r="E804" t="inlineStr">
        <is>
          <t>HÄRJEDALEN</t>
        </is>
      </c>
      <c r="G804" t="n">
        <v>32.6</v>
      </c>
      <c r="H804" t="n">
        <v>0</v>
      </c>
      <c r="I804" t="n">
        <v>0</v>
      </c>
      <c r="J804" t="n">
        <v>0</v>
      </c>
      <c r="K804" t="n">
        <v>0</v>
      </c>
      <c r="L804" t="n">
        <v>0</v>
      </c>
      <c r="M804" t="n">
        <v>0</v>
      </c>
      <c r="N804" t="n">
        <v>0</v>
      </c>
      <c r="O804" t="n">
        <v>0</v>
      </c>
      <c r="P804" t="n">
        <v>0</v>
      </c>
      <c r="Q804" t="n">
        <v>0</v>
      </c>
      <c r="R804" s="2" t="inlineStr"/>
    </row>
    <row r="805" ht="15" customHeight="1">
      <c r="A805" t="inlineStr">
        <is>
          <t>A 60752-2024</t>
        </is>
      </c>
      <c r="B805" s="1" t="n">
        <v>45644.56674768519</v>
      </c>
      <c r="C805" s="1" t="n">
        <v>46046</v>
      </c>
      <c r="D805" t="inlineStr">
        <is>
          <t>JÄMTLANDS LÄN</t>
        </is>
      </c>
      <c r="E805" t="inlineStr">
        <is>
          <t>HÄRJEDALEN</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56906-2023</t>
        </is>
      </c>
      <c r="B806" s="1" t="n">
        <v>45244</v>
      </c>
      <c r="C806" s="1" t="n">
        <v>46046</v>
      </c>
      <c r="D806" t="inlineStr">
        <is>
          <t>JÄMTLANDS LÄN</t>
        </is>
      </c>
      <c r="E806" t="inlineStr">
        <is>
          <t>HÄRJEDALEN</t>
        </is>
      </c>
      <c r="G806" t="n">
        <v>4.7</v>
      </c>
      <c r="H806" t="n">
        <v>0</v>
      </c>
      <c r="I806" t="n">
        <v>0</v>
      </c>
      <c r="J806" t="n">
        <v>0</v>
      </c>
      <c r="K806" t="n">
        <v>0</v>
      </c>
      <c r="L806" t="n">
        <v>0</v>
      </c>
      <c r="M806" t="n">
        <v>0</v>
      </c>
      <c r="N806" t="n">
        <v>0</v>
      </c>
      <c r="O806" t="n">
        <v>0</v>
      </c>
      <c r="P806" t="n">
        <v>0</v>
      </c>
      <c r="Q806" t="n">
        <v>0</v>
      </c>
      <c r="R806" s="2" t="inlineStr"/>
    </row>
    <row r="807" ht="15" customHeight="1">
      <c r="A807" t="inlineStr">
        <is>
          <t>A 4221-2025</t>
        </is>
      </c>
      <c r="B807" s="1" t="n">
        <v>45685.52405092592</v>
      </c>
      <c r="C807" s="1" t="n">
        <v>46046</v>
      </c>
      <c r="D807" t="inlineStr">
        <is>
          <t>JÄMTLANDS LÄN</t>
        </is>
      </c>
      <c r="E807" t="inlineStr">
        <is>
          <t>HÄRJEDALEN</t>
        </is>
      </c>
      <c r="F807" t="inlineStr">
        <is>
          <t>Bergvik skog väst AB</t>
        </is>
      </c>
      <c r="G807" t="n">
        <v>7.7</v>
      </c>
      <c r="H807" t="n">
        <v>0</v>
      </c>
      <c r="I807" t="n">
        <v>0</v>
      </c>
      <c r="J807" t="n">
        <v>0</v>
      </c>
      <c r="K807" t="n">
        <v>0</v>
      </c>
      <c r="L807" t="n">
        <v>0</v>
      </c>
      <c r="M807" t="n">
        <v>0</v>
      </c>
      <c r="N807" t="n">
        <v>0</v>
      </c>
      <c r="O807" t="n">
        <v>0</v>
      </c>
      <c r="P807" t="n">
        <v>0</v>
      </c>
      <c r="Q807" t="n">
        <v>0</v>
      </c>
      <c r="R807" s="2" t="inlineStr"/>
    </row>
    <row r="808" ht="15" customHeight="1">
      <c r="A808" t="inlineStr">
        <is>
          <t>A 35154-2025</t>
        </is>
      </c>
      <c r="B808" s="1" t="n">
        <v>45852</v>
      </c>
      <c r="C808" s="1" t="n">
        <v>46046</v>
      </c>
      <c r="D808" t="inlineStr">
        <is>
          <t>JÄMTLANDS LÄN</t>
        </is>
      </c>
      <c r="E808" t="inlineStr">
        <is>
          <t>HÄRJEDALEN</t>
        </is>
      </c>
      <c r="G808" t="n">
        <v>14.1</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46046</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16842-2025</t>
        </is>
      </c>
      <c r="B810" s="1" t="n">
        <v>45754.67329861111</v>
      </c>
      <c r="C810" s="1" t="n">
        <v>46046</v>
      </c>
      <c r="D810" t="inlineStr">
        <is>
          <t>JÄMTLANDS LÄN</t>
        </is>
      </c>
      <c r="E810" t="inlineStr">
        <is>
          <t>HÄRJEDALEN</t>
        </is>
      </c>
      <c r="G810" t="n">
        <v>18.6</v>
      </c>
      <c r="H810" t="n">
        <v>0</v>
      </c>
      <c r="I810" t="n">
        <v>0</v>
      </c>
      <c r="J810" t="n">
        <v>0</v>
      </c>
      <c r="K810" t="n">
        <v>0</v>
      </c>
      <c r="L810" t="n">
        <v>0</v>
      </c>
      <c r="M810" t="n">
        <v>0</v>
      </c>
      <c r="N810" t="n">
        <v>0</v>
      </c>
      <c r="O810" t="n">
        <v>0</v>
      </c>
      <c r="P810" t="n">
        <v>0</v>
      </c>
      <c r="Q810" t="n">
        <v>0</v>
      </c>
      <c r="R810" s="2" t="inlineStr"/>
    </row>
    <row r="811" ht="15" customHeight="1">
      <c r="A811" t="inlineStr">
        <is>
          <t>A 35241-2025</t>
        </is>
      </c>
      <c r="B811" s="1" t="n">
        <v>45853.61865740741</v>
      </c>
      <c r="C811" s="1" t="n">
        <v>46046</v>
      </c>
      <c r="D811" t="inlineStr">
        <is>
          <t>JÄMTLANDS LÄN</t>
        </is>
      </c>
      <c r="E811" t="inlineStr">
        <is>
          <t>HÄRJEDALEN</t>
        </is>
      </c>
      <c r="G811" t="n">
        <v>8.6</v>
      </c>
      <c r="H811" t="n">
        <v>0</v>
      </c>
      <c r="I811" t="n">
        <v>0</v>
      </c>
      <c r="J811" t="n">
        <v>0</v>
      </c>
      <c r="K811" t="n">
        <v>0</v>
      </c>
      <c r="L811" t="n">
        <v>0</v>
      </c>
      <c r="M811" t="n">
        <v>0</v>
      </c>
      <c r="N811" t="n">
        <v>0</v>
      </c>
      <c r="O811" t="n">
        <v>0</v>
      </c>
      <c r="P811" t="n">
        <v>0</v>
      </c>
      <c r="Q811" t="n">
        <v>0</v>
      </c>
      <c r="R811" s="2" t="inlineStr"/>
    </row>
    <row r="812" ht="15" customHeight="1">
      <c r="A812" t="inlineStr">
        <is>
          <t>A 35243-2025</t>
        </is>
      </c>
      <c r="B812" s="1" t="n">
        <v>45853.62415509259</v>
      </c>
      <c r="C812" s="1" t="n">
        <v>46046</v>
      </c>
      <c r="D812" t="inlineStr">
        <is>
          <t>JÄMTLANDS LÄN</t>
        </is>
      </c>
      <c r="E812" t="inlineStr">
        <is>
          <t>HÄRJEDALEN</t>
        </is>
      </c>
      <c r="F812" t="inlineStr">
        <is>
          <t>Bergvik skog väst AB</t>
        </is>
      </c>
      <c r="G812" t="n">
        <v>12</v>
      </c>
      <c r="H812" t="n">
        <v>0</v>
      </c>
      <c r="I812" t="n">
        <v>0</v>
      </c>
      <c r="J812" t="n">
        <v>0</v>
      </c>
      <c r="K812" t="n">
        <v>0</v>
      </c>
      <c r="L812" t="n">
        <v>0</v>
      </c>
      <c r="M812" t="n">
        <v>0</v>
      </c>
      <c r="N812" t="n">
        <v>0</v>
      </c>
      <c r="O812" t="n">
        <v>0</v>
      </c>
      <c r="P812" t="n">
        <v>0</v>
      </c>
      <c r="Q812" t="n">
        <v>0</v>
      </c>
      <c r="R812" s="2" t="inlineStr"/>
    </row>
    <row r="813" ht="15" customHeight="1">
      <c r="A813" t="inlineStr">
        <is>
          <t>A 14632-2025</t>
        </is>
      </c>
      <c r="B813" s="1" t="n">
        <v>45742.42793981481</v>
      </c>
      <c r="C813" s="1" t="n">
        <v>46046</v>
      </c>
      <c r="D813" t="inlineStr">
        <is>
          <t>JÄMTLANDS LÄN</t>
        </is>
      </c>
      <c r="E813" t="inlineStr">
        <is>
          <t>HÄRJEDALEN</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35309-2025</t>
        </is>
      </c>
      <c r="B814" s="1" t="n">
        <v>45854.44850694444</v>
      </c>
      <c r="C814" s="1" t="n">
        <v>46046</v>
      </c>
      <c r="D814" t="inlineStr">
        <is>
          <t>JÄMTLANDS LÄN</t>
        </is>
      </c>
      <c r="E814" t="inlineStr">
        <is>
          <t>HÄRJEDALEN</t>
        </is>
      </c>
      <c r="F814" t="inlineStr">
        <is>
          <t>SCA</t>
        </is>
      </c>
      <c r="G814" t="n">
        <v>10.2</v>
      </c>
      <c r="H814" t="n">
        <v>0</v>
      </c>
      <c r="I814" t="n">
        <v>0</v>
      </c>
      <c r="J814" t="n">
        <v>0</v>
      </c>
      <c r="K814" t="n">
        <v>0</v>
      </c>
      <c r="L814" t="n">
        <v>0</v>
      </c>
      <c r="M814" t="n">
        <v>0</v>
      </c>
      <c r="N814" t="n">
        <v>0</v>
      </c>
      <c r="O814" t="n">
        <v>0</v>
      </c>
      <c r="P814" t="n">
        <v>0</v>
      </c>
      <c r="Q814" t="n">
        <v>0</v>
      </c>
      <c r="R814" s="2" t="inlineStr"/>
    </row>
    <row r="815" ht="15" customHeight="1">
      <c r="A815" t="inlineStr">
        <is>
          <t>A 35310-2025</t>
        </is>
      </c>
      <c r="B815" s="1" t="n">
        <v>45854.44864583333</v>
      </c>
      <c r="C815" s="1" t="n">
        <v>46046</v>
      </c>
      <c r="D815" t="inlineStr">
        <is>
          <t>JÄMTLANDS LÄN</t>
        </is>
      </c>
      <c r="E815" t="inlineStr">
        <is>
          <t>HÄRJEDALEN</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5993-2021</t>
        </is>
      </c>
      <c r="B816" s="1" t="n">
        <v>44231</v>
      </c>
      <c r="C816" s="1" t="n">
        <v>46046</v>
      </c>
      <c r="D816" t="inlineStr">
        <is>
          <t>JÄMTLANDS LÄN</t>
        </is>
      </c>
      <c r="E816" t="inlineStr">
        <is>
          <t>HÄRJEDALEN</t>
        </is>
      </c>
      <c r="F816" t="inlineStr">
        <is>
          <t>Kyrkan</t>
        </is>
      </c>
      <c r="G816" t="n">
        <v>2.6</v>
      </c>
      <c r="H816" t="n">
        <v>0</v>
      </c>
      <c r="I816" t="n">
        <v>0</v>
      </c>
      <c r="J816" t="n">
        <v>0</v>
      </c>
      <c r="K816" t="n">
        <v>0</v>
      </c>
      <c r="L816" t="n">
        <v>0</v>
      </c>
      <c r="M816" t="n">
        <v>0</v>
      </c>
      <c r="N816" t="n">
        <v>0</v>
      </c>
      <c r="O816" t="n">
        <v>0</v>
      </c>
      <c r="P816" t="n">
        <v>0</v>
      </c>
      <c r="Q816" t="n">
        <v>0</v>
      </c>
      <c r="R816" s="2" t="inlineStr"/>
    </row>
    <row r="817" ht="15" customHeight="1">
      <c r="A817" t="inlineStr">
        <is>
          <t>A 35297-2025</t>
        </is>
      </c>
      <c r="B817" s="1" t="n">
        <v>45854.40662037037</v>
      </c>
      <c r="C817" s="1" t="n">
        <v>46046</v>
      </c>
      <c r="D817" t="inlineStr">
        <is>
          <t>JÄMTLANDS LÄN</t>
        </is>
      </c>
      <c r="E817" t="inlineStr">
        <is>
          <t>HÄRJEDALEN</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48818-2024</t>
        </is>
      </c>
      <c r="B818" s="1" t="n">
        <v>45593.67809027778</v>
      </c>
      <c r="C818" s="1" t="n">
        <v>46046</v>
      </c>
      <c r="D818" t="inlineStr">
        <is>
          <t>JÄMTLANDS LÄN</t>
        </is>
      </c>
      <c r="E818" t="inlineStr">
        <is>
          <t>HÄRJEDALEN</t>
        </is>
      </c>
      <c r="G818" t="n">
        <v>0.1</v>
      </c>
      <c r="H818" t="n">
        <v>0</v>
      </c>
      <c r="I818" t="n">
        <v>0</v>
      </c>
      <c r="J818" t="n">
        <v>0</v>
      </c>
      <c r="K818" t="n">
        <v>0</v>
      </c>
      <c r="L818" t="n">
        <v>0</v>
      </c>
      <c r="M818" t="n">
        <v>0</v>
      </c>
      <c r="N818" t="n">
        <v>0</v>
      </c>
      <c r="O818" t="n">
        <v>0</v>
      </c>
      <c r="P818" t="n">
        <v>0</v>
      </c>
      <c r="Q818" t="n">
        <v>0</v>
      </c>
      <c r="R818" s="2" t="inlineStr"/>
    </row>
    <row r="819" ht="15" customHeight="1">
      <c r="A819" t="inlineStr">
        <is>
          <t>A 40567-2023</t>
        </is>
      </c>
      <c r="B819" s="1" t="n">
        <v>45170.46134259259</v>
      </c>
      <c r="C819" s="1" t="n">
        <v>46046</v>
      </c>
      <c r="D819" t="inlineStr">
        <is>
          <t>JÄMTLANDS LÄN</t>
        </is>
      </c>
      <c r="E819" t="inlineStr">
        <is>
          <t>HÄRJEDALEN</t>
        </is>
      </c>
      <c r="F819" t="inlineStr">
        <is>
          <t>Holmen skog AB</t>
        </is>
      </c>
      <c r="G819" t="n">
        <v>19.4</v>
      </c>
      <c r="H819" t="n">
        <v>0</v>
      </c>
      <c r="I819" t="n">
        <v>0</v>
      </c>
      <c r="J819" t="n">
        <v>0</v>
      </c>
      <c r="K819" t="n">
        <v>0</v>
      </c>
      <c r="L819" t="n">
        <v>0</v>
      </c>
      <c r="M819" t="n">
        <v>0</v>
      </c>
      <c r="N819" t="n">
        <v>0</v>
      </c>
      <c r="O819" t="n">
        <v>0</v>
      </c>
      <c r="P819" t="n">
        <v>0</v>
      </c>
      <c r="Q819" t="n">
        <v>0</v>
      </c>
      <c r="R819" s="2" t="inlineStr"/>
    </row>
    <row r="820" ht="15" customHeight="1">
      <c r="A820" t="inlineStr">
        <is>
          <t>A 5277-2021</t>
        </is>
      </c>
      <c r="B820" s="1" t="n">
        <v>44225</v>
      </c>
      <c r="C820" s="1" t="n">
        <v>46046</v>
      </c>
      <c r="D820" t="inlineStr">
        <is>
          <t>JÄMTLANDS LÄN</t>
        </is>
      </c>
      <c r="E820" t="inlineStr">
        <is>
          <t>HÄRJEDALEN</t>
        </is>
      </c>
      <c r="G820" t="n">
        <v>20</v>
      </c>
      <c r="H820" t="n">
        <v>0</v>
      </c>
      <c r="I820" t="n">
        <v>0</v>
      </c>
      <c r="J820" t="n">
        <v>0</v>
      </c>
      <c r="K820" t="n">
        <v>0</v>
      </c>
      <c r="L820" t="n">
        <v>0</v>
      </c>
      <c r="M820" t="n">
        <v>0</v>
      </c>
      <c r="N820" t="n">
        <v>0</v>
      </c>
      <c r="O820" t="n">
        <v>0</v>
      </c>
      <c r="P820" t="n">
        <v>0</v>
      </c>
      <c r="Q820" t="n">
        <v>0</v>
      </c>
      <c r="R820" s="2" t="inlineStr"/>
    </row>
    <row r="821" ht="15" customHeight="1">
      <c r="A821" t="inlineStr">
        <is>
          <t>A 20103-2025</t>
        </is>
      </c>
      <c r="B821" s="1" t="n">
        <v>45772.46951388889</v>
      </c>
      <c r="C821" s="1" t="n">
        <v>46046</v>
      </c>
      <c r="D821" t="inlineStr">
        <is>
          <t>JÄMTLANDS LÄN</t>
        </is>
      </c>
      <c r="E821" t="inlineStr">
        <is>
          <t>HÄRJEDALEN</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46499-2024</t>
        </is>
      </c>
      <c r="B822" s="1" t="n">
        <v>45582.59753472222</v>
      </c>
      <c r="C822" s="1" t="n">
        <v>46046</v>
      </c>
      <c r="D822" t="inlineStr">
        <is>
          <t>JÄMTLANDS LÄN</t>
        </is>
      </c>
      <c r="E822" t="inlineStr">
        <is>
          <t>HÄRJEDALEN</t>
        </is>
      </c>
      <c r="F822" t="inlineStr">
        <is>
          <t>Bergvik skog väst AB</t>
        </is>
      </c>
      <c r="G822" t="n">
        <v>1.8</v>
      </c>
      <c r="H822" t="n">
        <v>0</v>
      </c>
      <c r="I822" t="n">
        <v>0</v>
      </c>
      <c r="J822" t="n">
        <v>0</v>
      </c>
      <c r="K822" t="n">
        <v>0</v>
      </c>
      <c r="L822" t="n">
        <v>0</v>
      </c>
      <c r="M822" t="n">
        <v>0</v>
      </c>
      <c r="N822" t="n">
        <v>0</v>
      </c>
      <c r="O822" t="n">
        <v>0</v>
      </c>
      <c r="P822" t="n">
        <v>0</v>
      </c>
      <c r="Q822" t="n">
        <v>0</v>
      </c>
      <c r="R822" s="2" t="inlineStr"/>
    </row>
    <row r="823" ht="15" customHeight="1">
      <c r="A823" t="inlineStr">
        <is>
          <t>A 1954-2023</t>
        </is>
      </c>
      <c r="B823" s="1" t="n">
        <v>44939.45376157408</v>
      </c>
      <c r="C823" s="1" t="n">
        <v>46046</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29772-2023</t>
        </is>
      </c>
      <c r="B824" s="1" t="n">
        <v>45107</v>
      </c>
      <c r="C824" s="1" t="n">
        <v>46046</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29791-2024</t>
        </is>
      </c>
      <c r="B825" s="1" t="n">
        <v>45485</v>
      </c>
      <c r="C825" s="1" t="n">
        <v>46046</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35810-2025</t>
        </is>
      </c>
      <c r="B826" s="1" t="n">
        <v>45861</v>
      </c>
      <c r="C826" s="1" t="n">
        <v>46046</v>
      </c>
      <c r="D826" t="inlineStr">
        <is>
          <t>JÄMTLANDS LÄN</t>
        </is>
      </c>
      <c r="E826" t="inlineStr">
        <is>
          <t>HÄRJEDALEN</t>
        </is>
      </c>
      <c r="F826" t="inlineStr">
        <is>
          <t>Bergvik skog väst AB</t>
        </is>
      </c>
      <c r="G826" t="n">
        <v>41.3</v>
      </c>
      <c r="H826" t="n">
        <v>0</v>
      </c>
      <c r="I826" t="n">
        <v>0</v>
      </c>
      <c r="J826" t="n">
        <v>0</v>
      </c>
      <c r="K826" t="n">
        <v>0</v>
      </c>
      <c r="L826" t="n">
        <v>0</v>
      </c>
      <c r="M826" t="n">
        <v>0</v>
      </c>
      <c r="N826" t="n">
        <v>0</v>
      </c>
      <c r="O826" t="n">
        <v>0</v>
      </c>
      <c r="P826" t="n">
        <v>0</v>
      </c>
      <c r="Q826" t="n">
        <v>0</v>
      </c>
      <c r="R826" s="2" t="inlineStr"/>
    </row>
    <row r="827" ht="15" customHeight="1">
      <c r="A827" t="inlineStr">
        <is>
          <t>A 13297-2025</t>
        </is>
      </c>
      <c r="B827" s="1" t="n">
        <v>45735.57390046296</v>
      </c>
      <c r="C827" s="1" t="n">
        <v>46046</v>
      </c>
      <c r="D827" t="inlineStr">
        <is>
          <t>JÄMTLANDS LÄN</t>
        </is>
      </c>
      <c r="E827" t="inlineStr">
        <is>
          <t>HÄRJEDALEN</t>
        </is>
      </c>
      <c r="G827" t="n">
        <v>24.7</v>
      </c>
      <c r="H827" t="n">
        <v>0</v>
      </c>
      <c r="I827" t="n">
        <v>0</v>
      </c>
      <c r="J827" t="n">
        <v>0</v>
      </c>
      <c r="K827" t="n">
        <v>0</v>
      </c>
      <c r="L827" t="n">
        <v>0</v>
      </c>
      <c r="M827" t="n">
        <v>0</v>
      </c>
      <c r="N827" t="n">
        <v>0</v>
      </c>
      <c r="O827" t="n">
        <v>0</v>
      </c>
      <c r="P827" t="n">
        <v>0</v>
      </c>
      <c r="Q827" t="n">
        <v>0</v>
      </c>
      <c r="R827" s="2" t="inlineStr"/>
    </row>
    <row r="828" ht="15" customHeight="1">
      <c r="A828" t="inlineStr">
        <is>
          <t>A 13328-2025</t>
        </is>
      </c>
      <c r="B828" s="1" t="n">
        <v>45735.60342592592</v>
      </c>
      <c r="C828" s="1" t="n">
        <v>46046</v>
      </c>
      <c r="D828" t="inlineStr">
        <is>
          <t>JÄMTLANDS LÄN</t>
        </is>
      </c>
      <c r="E828" t="inlineStr">
        <is>
          <t>HÄRJEDALEN</t>
        </is>
      </c>
      <c r="G828" t="n">
        <v>30.8</v>
      </c>
      <c r="H828" t="n">
        <v>0</v>
      </c>
      <c r="I828" t="n">
        <v>0</v>
      </c>
      <c r="J828" t="n">
        <v>0</v>
      </c>
      <c r="K828" t="n">
        <v>0</v>
      </c>
      <c r="L828" t="n">
        <v>0</v>
      </c>
      <c r="M828" t="n">
        <v>0</v>
      </c>
      <c r="N828" t="n">
        <v>0</v>
      </c>
      <c r="O828" t="n">
        <v>0</v>
      </c>
      <c r="P828" t="n">
        <v>0</v>
      </c>
      <c r="Q828" t="n">
        <v>0</v>
      </c>
      <c r="R828" s="2" t="inlineStr"/>
    </row>
    <row r="829" ht="15" customHeight="1">
      <c r="A829" t="inlineStr">
        <is>
          <t>A 35634-2025</t>
        </is>
      </c>
      <c r="B829" s="1" t="n">
        <v>45859</v>
      </c>
      <c r="C829" s="1" t="n">
        <v>46046</v>
      </c>
      <c r="D829" t="inlineStr">
        <is>
          <t>JÄMTLANDS LÄN</t>
        </is>
      </c>
      <c r="E829" t="inlineStr">
        <is>
          <t>HÄRJEDALEN</t>
        </is>
      </c>
      <c r="G829" t="n">
        <v>9.1</v>
      </c>
      <c r="H829" t="n">
        <v>0</v>
      </c>
      <c r="I829" t="n">
        <v>0</v>
      </c>
      <c r="J829" t="n">
        <v>0</v>
      </c>
      <c r="K829" t="n">
        <v>0</v>
      </c>
      <c r="L829" t="n">
        <v>0</v>
      </c>
      <c r="M829" t="n">
        <v>0</v>
      </c>
      <c r="N829" t="n">
        <v>0</v>
      </c>
      <c r="O829" t="n">
        <v>0</v>
      </c>
      <c r="P829" t="n">
        <v>0</v>
      </c>
      <c r="Q829" t="n">
        <v>0</v>
      </c>
      <c r="R829" s="2" t="inlineStr"/>
    </row>
    <row r="830" ht="15" customHeight="1">
      <c r="A830" t="inlineStr">
        <is>
          <t>A 12810-2022</t>
        </is>
      </c>
      <c r="B830" s="1" t="n">
        <v>44642</v>
      </c>
      <c r="C830" s="1" t="n">
        <v>46046</v>
      </c>
      <c r="D830" t="inlineStr">
        <is>
          <t>JÄMTLANDS LÄN</t>
        </is>
      </c>
      <c r="E830" t="inlineStr">
        <is>
          <t>HÄRJEDALEN</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19488-2024</t>
        </is>
      </c>
      <c r="B831" s="1" t="n">
        <v>45429</v>
      </c>
      <c r="C831" s="1" t="n">
        <v>46046</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24608-2024</t>
        </is>
      </c>
      <c r="B832" s="1" t="n">
        <v>45460.47969907407</v>
      </c>
      <c r="C832" s="1" t="n">
        <v>46046</v>
      </c>
      <c r="D832" t="inlineStr">
        <is>
          <t>JÄMTLANDS LÄN</t>
        </is>
      </c>
      <c r="E832" t="inlineStr">
        <is>
          <t>HÄRJEDALEN</t>
        </is>
      </c>
      <c r="G832" t="n">
        <v>15.7</v>
      </c>
      <c r="H832" t="n">
        <v>0</v>
      </c>
      <c r="I832" t="n">
        <v>0</v>
      </c>
      <c r="J832" t="n">
        <v>0</v>
      </c>
      <c r="K832" t="n">
        <v>0</v>
      </c>
      <c r="L832" t="n">
        <v>0</v>
      </c>
      <c r="M832" t="n">
        <v>0</v>
      </c>
      <c r="N832" t="n">
        <v>0</v>
      </c>
      <c r="O832" t="n">
        <v>0</v>
      </c>
      <c r="P832" t="n">
        <v>0</v>
      </c>
      <c r="Q832" t="n">
        <v>0</v>
      </c>
      <c r="R832" s="2" t="inlineStr"/>
    </row>
    <row r="833" ht="15" customHeight="1">
      <c r="A833" t="inlineStr">
        <is>
          <t>A 24613-2024</t>
        </is>
      </c>
      <c r="B833" s="1" t="n">
        <v>45460.48582175926</v>
      </c>
      <c r="C833" s="1" t="n">
        <v>46046</v>
      </c>
      <c r="D833" t="inlineStr">
        <is>
          <t>JÄMTLANDS LÄN</t>
        </is>
      </c>
      <c r="E833" t="inlineStr">
        <is>
          <t>HÄRJEDALEN</t>
        </is>
      </c>
      <c r="G833" t="n">
        <v>10.3</v>
      </c>
      <c r="H833" t="n">
        <v>0</v>
      </c>
      <c r="I833" t="n">
        <v>0</v>
      </c>
      <c r="J833" t="n">
        <v>0</v>
      </c>
      <c r="K833" t="n">
        <v>0</v>
      </c>
      <c r="L833" t="n">
        <v>0</v>
      </c>
      <c r="M833" t="n">
        <v>0</v>
      </c>
      <c r="N833" t="n">
        <v>0</v>
      </c>
      <c r="O833" t="n">
        <v>0</v>
      </c>
      <c r="P833" t="n">
        <v>0</v>
      </c>
      <c r="Q833" t="n">
        <v>0</v>
      </c>
      <c r="R833" s="2" t="inlineStr"/>
    </row>
    <row r="834" ht="15" customHeight="1">
      <c r="A834" t="inlineStr">
        <is>
          <t>A 12450-2025</t>
        </is>
      </c>
      <c r="B834" s="1" t="n">
        <v>45730</v>
      </c>
      <c r="C834" s="1" t="n">
        <v>46046</v>
      </c>
      <c r="D834" t="inlineStr">
        <is>
          <t>JÄMTLANDS LÄN</t>
        </is>
      </c>
      <c r="E834" t="inlineStr">
        <is>
          <t>HÄRJEDALEN</t>
        </is>
      </c>
      <c r="G834" t="n">
        <v>7.6</v>
      </c>
      <c r="H834" t="n">
        <v>0</v>
      </c>
      <c r="I834" t="n">
        <v>0</v>
      </c>
      <c r="J834" t="n">
        <v>0</v>
      </c>
      <c r="K834" t="n">
        <v>0</v>
      </c>
      <c r="L834" t="n">
        <v>0</v>
      </c>
      <c r="M834" t="n">
        <v>0</v>
      </c>
      <c r="N834" t="n">
        <v>0</v>
      </c>
      <c r="O834" t="n">
        <v>0</v>
      </c>
      <c r="P834" t="n">
        <v>0</v>
      </c>
      <c r="Q834" t="n">
        <v>0</v>
      </c>
      <c r="R834" s="2" t="inlineStr"/>
    </row>
    <row r="835" ht="15" customHeight="1">
      <c r="A835" t="inlineStr">
        <is>
          <t>A 17037-2025</t>
        </is>
      </c>
      <c r="B835" s="1" t="n">
        <v>45755</v>
      </c>
      <c r="C835" s="1" t="n">
        <v>46046</v>
      </c>
      <c r="D835" t="inlineStr">
        <is>
          <t>JÄMTLANDS LÄN</t>
        </is>
      </c>
      <c r="E835" t="inlineStr">
        <is>
          <t>HÄRJEDALEN</t>
        </is>
      </c>
      <c r="G835" t="n">
        <v>2.4</v>
      </c>
      <c r="H835" t="n">
        <v>0</v>
      </c>
      <c r="I835" t="n">
        <v>0</v>
      </c>
      <c r="J835" t="n">
        <v>0</v>
      </c>
      <c r="K835" t="n">
        <v>0</v>
      </c>
      <c r="L835" t="n">
        <v>0</v>
      </c>
      <c r="M835" t="n">
        <v>0</v>
      </c>
      <c r="N835" t="n">
        <v>0</v>
      </c>
      <c r="O835" t="n">
        <v>0</v>
      </c>
      <c r="P835" t="n">
        <v>0</v>
      </c>
      <c r="Q835" t="n">
        <v>0</v>
      </c>
      <c r="R835" s="2" t="inlineStr"/>
    </row>
    <row r="836" ht="15" customHeight="1">
      <c r="A836" t="inlineStr">
        <is>
          <t>A 12449-2025</t>
        </is>
      </c>
      <c r="B836" s="1" t="n">
        <v>45730</v>
      </c>
      <c r="C836" s="1" t="n">
        <v>46046</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12017-2025</t>
        </is>
      </c>
      <c r="B837" s="1" t="n">
        <v>45728</v>
      </c>
      <c r="C837" s="1" t="n">
        <v>46046</v>
      </c>
      <c r="D837" t="inlineStr">
        <is>
          <t>JÄMTLANDS LÄN</t>
        </is>
      </c>
      <c r="E837" t="inlineStr">
        <is>
          <t>HÄRJEDALEN</t>
        </is>
      </c>
      <c r="G837" t="n">
        <v>35.4</v>
      </c>
      <c r="H837" t="n">
        <v>0</v>
      </c>
      <c r="I837" t="n">
        <v>0</v>
      </c>
      <c r="J837" t="n">
        <v>0</v>
      </c>
      <c r="K837" t="n">
        <v>0</v>
      </c>
      <c r="L837" t="n">
        <v>0</v>
      </c>
      <c r="M837" t="n">
        <v>0</v>
      </c>
      <c r="N837" t="n">
        <v>0</v>
      </c>
      <c r="O837" t="n">
        <v>0</v>
      </c>
      <c r="P837" t="n">
        <v>0</v>
      </c>
      <c r="Q837" t="n">
        <v>0</v>
      </c>
      <c r="R837" s="2" t="inlineStr"/>
    </row>
    <row r="838" ht="15" customHeight="1">
      <c r="A838" t="inlineStr">
        <is>
          <t>A 6756-2024</t>
        </is>
      </c>
      <c r="B838" s="1" t="n">
        <v>45342</v>
      </c>
      <c r="C838" s="1" t="n">
        <v>46046</v>
      </c>
      <c r="D838" t="inlineStr">
        <is>
          <t>JÄMTLANDS LÄN</t>
        </is>
      </c>
      <c r="E838" t="inlineStr">
        <is>
          <t>HÄRJEDALEN</t>
        </is>
      </c>
      <c r="G838" t="n">
        <v>5.7</v>
      </c>
      <c r="H838" t="n">
        <v>0</v>
      </c>
      <c r="I838" t="n">
        <v>0</v>
      </c>
      <c r="J838" t="n">
        <v>0</v>
      </c>
      <c r="K838" t="n">
        <v>0</v>
      </c>
      <c r="L838" t="n">
        <v>0</v>
      </c>
      <c r="M838" t="n">
        <v>0</v>
      </c>
      <c r="N838" t="n">
        <v>0</v>
      </c>
      <c r="O838" t="n">
        <v>0</v>
      </c>
      <c r="P838" t="n">
        <v>0</v>
      </c>
      <c r="Q838" t="n">
        <v>0</v>
      </c>
      <c r="R838" s="2" t="inlineStr"/>
    </row>
    <row r="839" ht="15" customHeight="1">
      <c r="A839" t="inlineStr">
        <is>
          <t>A 31910-2023</t>
        </is>
      </c>
      <c r="B839" s="1" t="n">
        <v>45118.91633101852</v>
      </c>
      <c r="C839" s="1" t="n">
        <v>46046</v>
      </c>
      <c r="D839" t="inlineStr">
        <is>
          <t>JÄMTLANDS LÄN</t>
        </is>
      </c>
      <c r="E839" t="inlineStr">
        <is>
          <t>HÄRJEDALEN</t>
        </is>
      </c>
      <c r="G839" t="n">
        <v>5</v>
      </c>
      <c r="H839" t="n">
        <v>0</v>
      </c>
      <c r="I839" t="n">
        <v>0</v>
      </c>
      <c r="J839" t="n">
        <v>0</v>
      </c>
      <c r="K839" t="n">
        <v>0</v>
      </c>
      <c r="L839" t="n">
        <v>0</v>
      </c>
      <c r="M839" t="n">
        <v>0</v>
      </c>
      <c r="N839" t="n">
        <v>0</v>
      </c>
      <c r="O839" t="n">
        <v>0</v>
      </c>
      <c r="P839" t="n">
        <v>0</v>
      </c>
      <c r="Q839" t="n">
        <v>0</v>
      </c>
      <c r="R839" s="2" t="inlineStr"/>
    </row>
    <row r="840" ht="15" customHeight="1">
      <c r="A840" t="inlineStr">
        <is>
          <t>A 28686-2024</t>
        </is>
      </c>
      <c r="B840" s="1" t="n">
        <v>45478.48700231482</v>
      </c>
      <c r="C840" s="1" t="n">
        <v>46046</v>
      </c>
      <c r="D840" t="inlineStr">
        <is>
          <t>JÄMTLANDS LÄN</t>
        </is>
      </c>
      <c r="E840" t="inlineStr">
        <is>
          <t>HÄRJEDALEN</t>
        </is>
      </c>
      <c r="F840" t="inlineStr">
        <is>
          <t>Bergvik skog väst AB</t>
        </is>
      </c>
      <c r="G840" t="n">
        <v>0.2</v>
      </c>
      <c r="H840" t="n">
        <v>0</v>
      </c>
      <c r="I840" t="n">
        <v>0</v>
      </c>
      <c r="J840" t="n">
        <v>0</v>
      </c>
      <c r="K840" t="n">
        <v>0</v>
      </c>
      <c r="L840" t="n">
        <v>0</v>
      </c>
      <c r="M840" t="n">
        <v>0</v>
      </c>
      <c r="N840" t="n">
        <v>0</v>
      </c>
      <c r="O840" t="n">
        <v>0</v>
      </c>
      <c r="P840" t="n">
        <v>0</v>
      </c>
      <c r="Q840" t="n">
        <v>0</v>
      </c>
      <c r="R840" s="2" t="inlineStr"/>
    </row>
    <row r="841" ht="15" customHeight="1">
      <c r="A841" t="inlineStr">
        <is>
          <t>A 36097-2024</t>
        </is>
      </c>
      <c r="B841" s="1" t="n">
        <v>45533.75398148148</v>
      </c>
      <c r="C841" s="1" t="n">
        <v>46046</v>
      </c>
      <c r="D841" t="inlineStr">
        <is>
          <t>JÄMTLANDS LÄN</t>
        </is>
      </c>
      <c r="E841" t="inlineStr">
        <is>
          <t>HÄRJEDALEN</t>
        </is>
      </c>
      <c r="G841" t="n">
        <v>2.9</v>
      </c>
      <c r="H841" t="n">
        <v>0</v>
      </c>
      <c r="I841" t="n">
        <v>0</v>
      </c>
      <c r="J841" t="n">
        <v>0</v>
      </c>
      <c r="K841" t="n">
        <v>0</v>
      </c>
      <c r="L841" t="n">
        <v>0</v>
      </c>
      <c r="M841" t="n">
        <v>0</v>
      </c>
      <c r="N841" t="n">
        <v>0</v>
      </c>
      <c r="O841" t="n">
        <v>0</v>
      </c>
      <c r="P841" t="n">
        <v>0</v>
      </c>
      <c r="Q841" t="n">
        <v>0</v>
      </c>
      <c r="R841" s="2" t="inlineStr"/>
    </row>
    <row r="842" ht="15" customHeight="1">
      <c r="A842" t="inlineStr">
        <is>
          <t>A 36241-2025</t>
        </is>
      </c>
      <c r="B842" s="1" t="n">
        <v>45867.55305555555</v>
      </c>
      <c r="C842" s="1" t="n">
        <v>46046</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36066-2025</t>
        </is>
      </c>
      <c r="B843" s="1" t="n">
        <v>45866.40701388889</v>
      </c>
      <c r="C843" s="1" t="n">
        <v>46046</v>
      </c>
      <c r="D843" t="inlineStr">
        <is>
          <t>JÄMTLANDS LÄN</t>
        </is>
      </c>
      <c r="E843" t="inlineStr">
        <is>
          <t>HÄRJEDALEN</t>
        </is>
      </c>
      <c r="G843" t="n">
        <v>21.8</v>
      </c>
      <c r="H843" t="n">
        <v>0</v>
      </c>
      <c r="I843" t="n">
        <v>0</v>
      </c>
      <c r="J843" t="n">
        <v>0</v>
      </c>
      <c r="K843" t="n">
        <v>0</v>
      </c>
      <c r="L843" t="n">
        <v>0</v>
      </c>
      <c r="M843" t="n">
        <v>0</v>
      </c>
      <c r="N843" t="n">
        <v>0</v>
      </c>
      <c r="O843" t="n">
        <v>0</v>
      </c>
      <c r="P843" t="n">
        <v>0</v>
      </c>
      <c r="Q843" t="n">
        <v>0</v>
      </c>
      <c r="R843" s="2" t="inlineStr"/>
    </row>
    <row r="844" ht="15" customHeight="1">
      <c r="A844" t="inlineStr">
        <is>
          <t>A 36133-2025</t>
        </is>
      </c>
      <c r="B844" s="1" t="n">
        <v>45866.62908564815</v>
      </c>
      <c r="C844" s="1" t="n">
        <v>46046</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39820-2022</t>
        </is>
      </c>
      <c r="B845" s="1" t="n">
        <v>44819.56722222222</v>
      </c>
      <c r="C845" s="1" t="n">
        <v>46046</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49792-2023</t>
        </is>
      </c>
      <c r="B846" s="1" t="n">
        <v>45212</v>
      </c>
      <c r="C846" s="1" t="n">
        <v>46046</v>
      </c>
      <c r="D846" t="inlineStr">
        <is>
          <t>JÄMTLANDS LÄN</t>
        </is>
      </c>
      <c r="E846" t="inlineStr">
        <is>
          <t>HÄRJEDALEN</t>
        </is>
      </c>
      <c r="G846" t="n">
        <v>5.6</v>
      </c>
      <c r="H846" t="n">
        <v>0</v>
      </c>
      <c r="I846" t="n">
        <v>0</v>
      </c>
      <c r="J846" t="n">
        <v>0</v>
      </c>
      <c r="K846" t="n">
        <v>0</v>
      </c>
      <c r="L846" t="n">
        <v>0</v>
      </c>
      <c r="M846" t="n">
        <v>0</v>
      </c>
      <c r="N846" t="n">
        <v>0</v>
      </c>
      <c r="O846" t="n">
        <v>0</v>
      </c>
      <c r="P846" t="n">
        <v>0</v>
      </c>
      <c r="Q846" t="n">
        <v>0</v>
      </c>
      <c r="R846" s="2" t="inlineStr"/>
    </row>
    <row r="847" ht="15" customHeight="1">
      <c r="A847" t="inlineStr">
        <is>
          <t>A 12428-2025</t>
        </is>
      </c>
      <c r="B847" s="1" t="n">
        <v>45730</v>
      </c>
      <c r="C847" s="1" t="n">
        <v>46046</v>
      </c>
      <c r="D847" t="inlineStr">
        <is>
          <t>JÄMTLANDS LÄN</t>
        </is>
      </c>
      <c r="E847" t="inlineStr">
        <is>
          <t>HÄRJEDALEN</t>
        </is>
      </c>
      <c r="G847" t="n">
        <v>1.7</v>
      </c>
      <c r="H847" t="n">
        <v>0</v>
      </c>
      <c r="I847" t="n">
        <v>0</v>
      </c>
      <c r="J847" t="n">
        <v>0</v>
      </c>
      <c r="K847" t="n">
        <v>0</v>
      </c>
      <c r="L847" t="n">
        <v>0</v>
      </c>
      <c r="M847" t="n">
        <v>0</v>
      </c>
      <c r="N847" t="n">
        <v>0</v>
      </c>
      <c r="O847" t="n">
        <v>0</v>
      </c>
      <c r="P847" t="n">
        <v>0</v>
      </c>
      <c r="Q847" t="n">
        <v>0</v>
      </c>
      <c r="R847" s="2" t="inlineStr"/>
    </row>
    <row r="848" ht="15" customHeight="1">
      <c r="A848" t="inlineStr">
        <is>
          <t>A 59462-2024</t>
        </is>
      </c>
      <c r="B848" s="1" t="n">
        <v>45638</v>
      </c>
      <c r="C848" s="1" t="n">
        <v>46046</v>
      </c>
      <c r="D848" t="inlineStr">
        <is>
          <t>JÄMTLANDS LÄN</t>
        </is>
      </c>
      <c r="E848" t="inlineStr">
        <is>
          <t>HÄRJEDALEN</t>
        </is>
      </c>
      <c r="F848" t="inlineStr">
        <is>
          <t>Holmen skog AB</t>
        </is>
      </c>
      <c r="G848" t="n">
        <v>9.6</v>
      </c>
      <c r="H848" t="n">
        <v>0</v>
      </c>
      <c r="I848" t="n">
        <v>0</v>
      </c>
      <c r="J848" t="n">
        <v>0</v>
      </c>
      <c r="K848" t="n">
        <v>0</v>
      </c>
      <c r="L848" t="n">
        <v>0</v>
      </c>
      <c r="M848" t="n">
        <v>0</v>
      </c>
      <c r="N848" t="n">
        <v>0</v>
      </c>
      <c r="O848" t="n">
        <v>0</v>
      </c>
      <c r="P848" t="n">
        <v>0</v>
      </c>
      <c r="Q848" t="n">
        <v>0</v>
      </c>
      <c r="R848" s="2" t="inlineStr"/>
    </row>
    <row r="849" ht="15" customHeight="1">
      <c r="A849" t="inlineStr">
        <is>
          <t>A 19098-2025</t>
        </is>
      </c>
      <c r="B849" s="1" t="n">
        <v>45768.29289351852</v>
      </c>
      <c r="C849" s="1" t="n">
        <v>46046</v>
      </c>
      <c r="D849" t="inlineStr">
        <is>
          <t>JÄMTLANDS LÄN</t>
        </is>
      </c>
      <c r="E849" t="inlineStr">
        <is>
          <t>HÄRJEDALEN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19101-2025</t>
        </is>
      </c>
      <c r="B850" s="1" t="n">
        <v>45768.30086805556</v>
      </c>
      <c r="C850" s="1" t="n">
        <v>46046</v>
      </c>
      <c r="D850" t="inlineStr">
        <is>
          <t>JÄMTLANDS LÄN</t>
        </is>
      </c>
      <c r="E850" t="inlineStr">
        <is>
          <t>HÄRJEDALEN</t>
        </is>
      </c>
      <c r="F850" t="inlineStr">
        <is>
          <t>Sveaskog</t>
        </is>
      </c>
      <c r="G850" t="n">
        <v>3.7</v>
      </c>
      <c r="H850" t="n">
        <v>0</v>
      </c>
      <c r="I850" t="n">
        <v>0</v>
      </c>
      <c r="J850" t="n">
        <v>0</v>
      </c>
      <c r="K850" t="n">
        <v>0</v>
      </c>
      <c r="L850" t="n">
        <v>0</v>
      </c>
      <c r="M850" t="n">
        <v>0</v>
      </c>
      <c r="N850" t="n">
        <v>0</v>
      </c>
      <c r="O850" t="n">
        <v>0</v>
      </c>
      <c r="P850" t="n">
        <v>0</v>
      </c>
      <c r="Q850" t="n">
        <v>0</v>
      </c>
      <c r="R850" s="2" t="inlineStr"/>
    </row>
    <row r="851" ht="15" customHeight="1">
      <c r="A851" t="inlineStr">
        <is>
          <t>A 53993-2023</t>
        </is>
      </c>
      <c r="B851" s="1" t="n">
        <v>45231</v>
      </c>
      <c r="C851" s="1" t="n">
        <v>46046</v>
      </c>
      <c r="D851" t="inlineStr">
        <is>
          <t>JÄMTLANDS LÄN</t>
        </is>
      </c>
      <c r="E851" t="inlineStr">
        <is>
          <t>HÄRJEDALEN</t>
        </is>
      </c>
      <c r="G851" t="n">
        <v>1.3</v>
      </c>
      <c r="H851" t="n">
        <v>0</v>
      </c>
      <c r="I851" t="n">
        <v>0</v>
      </c>
      <c r="J851" t="n">
        <v>0</v>
      </c>
      <c r="K851" t="n">
        <v>0</v>
      </c>
      <c r="L851" t="n">
        <v>0</v>
      </c>
      <c r="M851" t="n">
        <v>0</v>
      </c>
      <c r="N851" t="n">
        <v>0</v>
      </c>
      <c r="O851" t="n">
        <v>0</v>
      </c>
      <c r="P851" t="n">
        <v>0</v>
      </c>
      <c r="Q851" t="n">
        <v>0</v>
      </c>
      <c r="R851" s="2" t="inlineStr"/>
    </row>
    <row r="852" ht="15" customHeight="1">
      <c r="A852" t="inlineStr">
        <is>
          <t>A 7371-2024</t>
        </is>
      </c>
      <c r="B852" s="1" t="n">
        <v>45345.4940625</v>
      </c>
      <c r="C852" s="1" t="n">
        <v>46046</v>
      </c>
      <c r="D852" t="inlineStr">
        <is>
          <t>JÄMTLANDS LÄN</t>
        </is>
      </c>
      <c r="E852" t="inlineStr">
        <is>
          <t>HÄRJEDALEN</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36399-2025</t>
        </is>
      </c>
      <c r="B853" s="1" t="n">
        <v>45868.639375</v>
      </c>
      <c r="C853" s="1" t="n">
        <v>46046</v>
      </c>
      <c r="D853" t="inlineStr">
        <is>
          <t>JÄMTLANDS LÄN</t>
        </is>
      </c>
      <c r="E853" t="inlineStr">
        <is>
          <t>HÄRJEDALEN</t>
        </is>
      </c>
      <c r="G853" t="n">
        <v>4.8</v>
      </c>
      <c r="H853" t="n">
        <v>0</v>
      </c>
      <c r="I853" t="n">
        <v>0</v>
      </c>
      <c r="J853" t="n">
        <v>0</v>
      </c>
      <c r="K853" t="n">
        <v>0</v>
      </c>
      <c r="L853" t="n">
        <v>0</v>
      </c>
      <c r="M853" t="n">
        <v>0</v>
      </c>
      <c r="N853" t="n">
        <v>0</v>
      </c>
      <c r="O853" t="n">
        <v>0</v>
      </c>
      <c r="P853" t="n">
        <v>0</v>
      </c>
      <c r="Q853" t="n">
        <v>0</v>
      </c>
      <c r="R853" s="2" t="inlineStr"/>
    </row>
    <row r="854" ht="15" customHeight="1">
      <c r="A854" t="inlineStr">
        <is>
          <t>A 25893-2024</t>
        </is>
      </c>
      <c r="B854" s="1" t="n">
        <v>45467</v>
      </c>
      <c r="C854" s="1" t="n">
        <v>46046</v>
      </c>
      <c r="D854" t="inlineStr">
        <is>
          <t>JÄMTLANDS LÄN</t>
        </is>
      </c>
      <c r="E854" t="inlineStr">
        <is>
          <t>HÄRJEDALEN</t>
        </is>
      </c>
      <c r="G854" t="n">
        <v>12.8</v>
      </c>
      <c r="H854" t="n">
        <v>0</v>
      </c>
      <c r="I854" t="n">
        <v>0</v>
      </c>
      <c r="J854" t="n">
        <v>0</v>
      </c>
      <c r="K854" t="n">
        <v>0</v>
      </c>
      <c r="L854" t="n">
        <v>0</v>
      </c>
      <c r="M854" t="n">
        <v>0</v>
      </c>
      <c r="N854" t="n">
        <v>0</v>
      </c>
      <c r="O854" t="n">
        <v>0</v>
      </c>
      <c r="P854" t="n">
        <v>0</v>
      </c>
      <c r="Q854" t="n">
        <v>0</v>
      </c>
      <c r="R854" s="2" t="inlineStr"/>
    </row>
    <row r="855" ht="15" customHeight="1">
      <c r="A855" t="inlineStr">
        <is>
          <t>A 36777-2025</t>
        </is>
      </c>
      <c r="B855" s="1" t="n">
        <v>45873.59511574074</v>
      </c>
      <c r="C855" s="1" t="n">
        <v>46046</v>
      </c>
      <c r="D855" t="inlineStr">
        <is>
          <t>JÄMTLANDS LÄN</t>
        </is>
      </c>
      <c r="E855" t="inlineStr">
        <is>
          <t>HÄRJEDALEN</t>
        </is>
      </c>
      <c r="F855" t="inlineStr">
        <is>
          <t>Bergvik skog väst AB</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60006-2024</t>
        </is>
      </c>
      <c r="B856" s="1" t="n">
        <v>45642.41907407407</v>
      </c>
      <c r="C856" s="1" t="n">
        <v>46046</v>
      </c>
      <c r="D856" t="inlineStr">
        <is>
          <t>JÄMTLANDS LÄN</t>
        </is>
      </c>
      <c r="E856" t="inlineStr">
        <is>
          <t>HÄRJEDALEN</t>
        </is>
      </c>
      <c r="G856" t="n">
        <v>7.3</v>
      </c>
      <c r="H856" t="n">
        <v>0</v>
      </c>
      <c r="I856" t="n">
        <v>0</v>
      </c>
      <c r="J856" t="n">
        <v>0</v>
      </c>
      <c r="K856" t="n">
        <v>0</v>
      </c>
      <c r="L856" t="n">
        <v>0</v>
      </c>
      <c r="M856" t="n">
        <v>0</v>
      </c>
      <c r="N856" t="n">
        <v>0</v>
      </c>
      <c r="O856" t="n">
        <v>0</v>
      </c>
      <c r="P856" t="n">
        <v>0</v>
      </c>
      <c r="Q856" t="n">
        <v>0</v>
      </c>
      <c r="R856" s="2" t="inlineStr"/>
    </row>
    <row r="857" ht="15" customHeight="1">
      <c r="A857" t="inlineStr">
        <is>
          <t>A 7368-2024</t>
        </is>
      </c>
      <c r="B857" s="1" t="n">
        <v>45345.48181712963</v>
      </c>
      <c r="C857" s="1" t="n">
        <v>46046</v>
      </c>
      <c r="D857" t="inlineStr">
        <is>
          <t>JÄMTLANDS LÄN</t>
        </is>
      </c>
      <c r="E857" t="inlineStr">
        <is>
          <t>HÄRJEDALEN</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46046</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58866-2023</t>
        </is>
      </c>
      <c r="B859" s="1" t="n">
        <v>45252.45481481482</v>
      </c>
      <c r="C859" s="1" t="n">
        <v>46046</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58890-2023</t>
        </is>
      </c>
      <c r="B860" s="1" t="n">
        <v>45252.48409722222</v>
      </c>
      <c r="C860" s="1" t="n">
        <v>46046</v>
      </c>
      <c r="D860" t="inlineStr">
        <is>
          <t>JÄMTLANDS LÄN</t>
        </is>
      </c>
      <c r="E860" t="inlineStr">
        <is>
          <t>HÄRJEDALEN</t>
        </is>
      </c>
      <c r="G860" t="n">
        <v>15.2</v>
      </c>
      <c r="H860" t="n">
        <v>0</v>
      </c>
      <c r="I860" t="n">
        <v>0</v>
      </c>
      <c r="J860" t="n">
        <v>0</v>
      </c>
      <c r="K860" t="n">
        <v>0</v>
      </c>
      <c r="L860" t="n">
        <v>0</v>
      </c>
      <c r="M860" t="n">
        <v>0</v>
      </c>
      <c r="N860" t="n">
        <v>0</v>
      </c>
      <c r="O860" t="n">
        <v>0</v>
      </c>
      <c r="P860" t="n">
        <v>0</v>
      </c>
      <c r="Q860" t="n">
        <v>0</v>
      </c>
      <c r="R860" s="2" t="inlineStr"/>
    </row>
    <row r="861" ht="15" customHeight="1">
      <c r="A861" t="inlineStr">
        <is>
          <t>A 21530-2023</t>
        </is>
      </c>
      <c r="B861" s="1" t="n">
        <v>45063</v>
      </c>
      <c r="C861" s="1" t="n">
        <v>46046</v>
      </c>
      <c r="D861" t="inlineStr">
        <is>
          <t>JÄMTLANDS LÄN</t>
        </is>
      </c>
      <c r="E861" t="inlineStr">
        <is>
          <t>HÄRJEDALEN</t>
        </is>
      </c>
      <c r="G861" t="n">
        <v>15.3</v>
      </c>
      <c r="H861" t="n">
        <v>0</v>
      </c>
      <c r="I861" t="n">
        <v>0</v>
      </c>
      <c r="J861" t="n">
        <v>0</v>
      </c>
      <c r="K861" t="n">
        <v>0</v>
      </c>
      <c r="L861" t="n">
        <v>0</v>
      </c>
      <c r="M861" t="n">
        <v>0</v>
      </c>
      <c r="N861" t="n">
        <v>0</v>
      </c>
      <c r="O861" t="n">
        <v>0</v>
      </c>
      <c r="P861" t="n">
        <v>0</v>
      </c>
      <c r="Q861" t="n">
        <v>0</v>
      </c>
      <c r="R861" s="2" t="inlineStr"/>
    </row>
    <row r="862" ht="15" customHeight="1">
      <c r="A862" t="inlineStr">
        <is>
          <t>A 21011-2024</t>
        </is>
      </c>
      <c r="B862" s="1" t="n">
        <v>45439.62893518519</v>
      </c>
      <c r="C862" s="1" t="n">
        <v>46046</v>
      </c>
      <c r="D862" t="inlineStr">
        <is>
          <t>JÄMTLANDS LÄN</t>
        </is>
      </c>
      <c r="E862" t="inlineStr">
        <is>
          <t>HÄRJEDALEN</t>
        </is>
      </c>
      <c r="G862" t="n">
        <v>92.40000000000001</v>
      </c>
      <c r="H862" t="n">
        <v>0</v>
      </c>
      <c r="I862" t="n">
        <v>0</v>
      </c>
      <c r="J862" t="n">
        <v>0</v>
      </c>
      <c r="K862" t="n">
        <v>0</v>
      </c>
      <c r="L862" t="n">
        <v>0</v>
      </c>
      <c r="M862" t="n">
        <v>0</v>
      </c>
      <c r="N862" t="n">
        <v>0</v>
      </c>
      <c r="O862" t="n">
        <v>0</v>
      </c>
      <c r="P862" t="n">
        <v>0</v>
      </c>
      <c r="Q862" t="n">
        <v>0</v>
      </c>
      <c r="R862" s="2" t="inlineStr"/>
    </row>
    <row r="863" ht="15" customHeight="1">
      <c r="A863" t="inlineStr">
        <is>
          <t>A 59427-2024</t>
        </is>
      </c>
      <c r="B863" s="1" t="n">
        <v>45638.416875</v>
      </c>
      <c r="C863" s="1" t="n">
        <v>46046</v>
      </c>
      <c r="D863" t="inlineStr">
        <is>
          <t>JÄMTLANDS LÄN</t>
        </is>
      </c>
      <c r="E863" t="inlineStr">
        <is>
          <t>HÄRJEDALEN</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19915-2023</t>
        </is>
      </c>
      <c r="B864" s="1" t="n">
        <v>45054</v>
      </c>
      <c r="C864" s="1" t="n">
        <v>46046</v>
      </c>
      <c r="D864" t="inlineStr">
        <is>
          <t>JÄMTLANDS LÄN</t>
        </is>
      </c>
      <c r="E864" t="inlineStr">
        <is>
          <t>HÄRJEDALEN</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46046</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31816-2024</t>
        </is>
      </c>
      <c r="B866" s="1" t="n">
        <v>45509.5980787037</v>
      </c>
      <c r="C866" s="1" t="n">
        <v>46046</v>
      </c>
      <c r="D866" t="inlineStr">
        <is>
          <t>JÄMTLANDS LÄN</t>
        </is>
      </c>
      <c r="E866" t="inlineStr">
        <is>
          <t>HÄRJEDALEN</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36978-2025</t>
        </is>
      </c>
      <c r="B867" s="1" t="n">
        <v>45874.64513888889</v>
      </c>
      <c r="C867" s="1" t="n">
        <v>46046</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52798-2024</t>
        </is>
      </c>
      <c r="B868" s="1" t="n">
        <v>45610.56706018518</v>
      </c>
      <c r="C868" s="1" t="n">
        <v>46046</v>
      </c>
      <c r="D868" t="inlineStr">
        <is>
          <t>JÄMTLANDS LÄN</t>
        </is>
      </c>
      <c r="E868" t="inlineStr">
        <is>
          <t>HÄRJEDALEN</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37106-2025</t>
        </is>
      </c>
      <c r="B869" s="1" t="n">
        <v>45875.47854166666</v>
      </c>
      <c r="C869" s="1" t="n">
        <v>46046</v>
      </c>
      <c r="D869" t="inlineStr">
        <is>
          <t>JÄMTLANDS LÄN</t>
        </is>
      </c>
      <c r="E869" t="inlineStr">
        <is>
          <t>HÄRJEDALEN</t>
        </is>
      </c>
      <c r="F869" t="inlineStr">
        <is>
          <t>Holmen skog AB</t>
        </is>
      </c>
      <c r="G869" t="n">
        <v>4.3</v>
      </c>
      <c r="H869" t="n">
        <v>0</v>
      </c>
      <c r="I869" t="n">
        <v>0</v>
      </c>
      <c r="J869" t="n">
        <v>0</v>
      </c>
      <c r="K869" t="n">
        <v>0</v>
      </c>
      <c r="L869" t="n">
        <v>0</v>
      </c>
      <c r="M869" t="n">
        <v>0</v>
      </c>
      <c r="N869" t="n">
        <v>0</v>
      </c>
      <c r="O869" t="n">
        <v>0</v>
      </c>
      <c r="P869" t="n">
        <v>0</v>
      </c>
      <c r="Q869" t="n">
        <v>0</v>
      </c>
      <c r="R869" s="2" t="inlineStr"/>
    </row>
    <row r="870" ht="15" customHeight="1">
      <c r="A870" t="inlineStr">
        <is>
          <t>A 37122-2025</t>
        </is>
      </c>
      <c r="B870" s="1" t="n">
        <v>45875.5196875</v>
      </c>
      <c r="C870" s="1" t="n">
        <v>46046</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36976-2025</t>
        </is>
      </c>
      <c r="B871" s="1" t="n">
        <v>45874.64199074074</v>
      </c>
      <c r="C871" s="1" t="n">
        <v>46046</v>
      </c>
      <c r="D871" t="inlineStr">
        <is>
          <t>JÄMTLANDS LÄN</t>
        </is>
      </c>
      <c r="E871" t="inlineStr">
        <is>
          <t>HÄRJEDALEN</t>
        </is>
      </c>
      <c r="G871" t="n">
        <v>1.3</v>
      </c>
      <c r="H871" t="n">
        <v>0</v>
      </c>
      <c r="I871" t="n">
        <v>0</v>
      </c>
      <c r="J871" t="n">
        <v>0</v>
      </c>
      <c r="K871" t="n">
        <v>0</v>
      </c>
      <c r="L871" t="n">
        <v>0</v>
      </c>
      <c r="M871" t="n">
        <v>0</v>
      </c>
      <c r="N871" t="n">
        <v>0</v>
      </c>
      <c r="O871" t="n">
        <v>0</v>
      </c>
      <c r="P871" t="n">
        <v>0</v>
      </c>
      <c r="Q871" t="n">
        <v>0</v>
      </c>
      <c r="R871" s="2" t="inlineStr"/>
    </row>
    <row r="872" ht="15" customHeight="1">
      <c r="A872" t="inlineStr">
        <is>
          <t>A 24964-2023</t>
        </is>
      </c>
      <c r="B872" s="1" t="n">
        <v>45085</v>
      </c>
      <c r="C872" s="1" t="n">
        <v>46046</v>
      </c>
      <c r="D872" t="inlineStr">
        <is>
          <t>JÄMTLANDS LÄN</t>
        </is>
      </c>
      <c r="E872" t="inlineStr">
        <is>
          <t>HÄRJEDALEN</t>
        </is>
      </c>
      <c r="G872" t="n">
        <v>19</v>
      </c>
      <c r="H872" t="n">
        <v>0</v>
      </c>
      <c r="I872" t="n">
        <v>0</v>
      </c>
      <c r="J872" t="n">
        <v>0</v>
      </c>
      <c r="K872" t="n">
        <v>0</v>
      </c>
      <c r="L872" t="n">
        <v>0</v>
      </c>
      <c r="M872" t="n">
        <v>0</v>
      </c>
      <c r="N872" t="n">
        <v>0</v>
      </c>
      <c r="O872" t="n">
        <v>0</v>
      </c>
      <c r="P872" t="n">
        <v>0</v>
      </c>
      <c r="Q872" t="n">
        <v>0</v>
      </c>
      <c r="R872" s="2" t="inlineStr"/>
    </row>
    <row r="873" ht="15" customHeight="1">
      <c r="A873" t="inlineStr">
        <is>
          <t>A 57668-2024</t>
        </is>
      </c>
      <c r="B873" s="1" t="n">
        <v>45630.62513888889</v>
      </c>
      <c r="C873" s="1" t="n">
        <v>46046</v>
      </c>
      <c r="D873" t="inlineStr">
        <is>
          <t>JÄMTLANDS LÄN</t>
        </is>
      </c>
      <c r="E873" t="inlineStr">
        <is>
          <t>HÄRJEDALEN</t>
        </is>
      </c>
      <c r="G873" t="n">
        <v>15.7</v>
      </c>
      <c r="H873" t="n">
        <v>0</v>
      </c>
      <c r="I873" t="n">
        <v>0</v>
      </c>
      <c r="J873" t="n">
        <v>0</v>
      </c>
      <c r="K873" t="n">
        <v>0</v>
      </c>
      <c r="L873" t="n">
        <v>0</v>
      </c>
      <c r="M873" t="n">
        <v>0</v>
      </c>
      <c r="N873" t="n">
        <v>0</v>
      </c>
      <c r="O873" t="n">
        <v>0</v>
      </c>
      <c r="P873" t="n">
        <v>0</v>
      </c>
      <c r="Q873" t="n">
        <v>0</v>
      </c>
      <c r="R873" s="2" t="inlineStr"/>
    </row>
    <row r="874" ht="15" customHeight="1">
      <c r="A874" t="inlineStr">
        <is>
          <t>A 56061-2024</t>
        </is>
      </c>
      <c r="B874" s="1" t="n">
        <v>45624.36858796296</v>
      </c>
      <c r="C874" s="1" t="n">
        <v>46046</v>
      </c>
      <c r="D874" t="inlineStr">
        <is>
          <t>JÄMTLANDS LÄN</t>
        </is>
      </c>
      <c r="E874" t="inlineStr">
        <is>
          <t>HÄRJEDALEN</t>
        </is>
      </c>
      <c r="G874" t="n">
        <v>7.9</v>
      </c>
      <c r="H874" t="n">
        <v>0</v>
      </c>
      <c r="I874" t="n">
        <v>0</v>
      </c>
      <c r="J874" t="n">
        <v>0</v>
      </c>
      <c r="K874" t="n">
        <v>0</v>
      </c>
      <c r="L874" t="n">
        <v>0</v>
      </c>
      <c r="M874" t="n">
        <v>0</v>
      </c>
      <c r="N874" t="n">
        <v>0</v>
      </c>
      <c r="O874" t="n">
        <v>0</v>
      </c>
      <c r="P874" t="n">
        <v>0</v>
      </c>
      <c r="Q874" t="n">
        <v>0</v>
      </c>
      <c r="R874" s="2" t="inlineStr"/>
    </row>
    <row r="875" ht="15" customHeight="1">
      <c r="A875" t="inlineStr">
        <is>
          <t>A 30082-2022</t>
        </is>
      </c>
      <c r="B875" s="1" t="n">
        <v>44757.37524305555</v>
      </c>
      <c r="C875" s="1" t="n">
        <v>46046</v>
      </c>
      <c r="D875" t="inlineStr">
        <is>
          <t>JÄMTLANDS LÄN</t>
        </is>
      </c>
      <c r="E875" t="inlineStr">
        <is>
          <t>HÄRJEDALEN</t>
        </is>
      </c>
      <c r="G875" t="n">
        <v>3</v>
      </c>
      <c r="H875" t="n">
        <v>0</v>
      </c>
      <c r="I875" t="n">
        <v>0</v>
      </c>
      <c r="J875" t="n">
        <v>0</v>
      </c>
      <c r="K875" t="n">
        <v>0</v>
      </c>
      <c r="L875" t="n">
        <v>0</v>
      </c>
      <c r="M875" t="n">
        <v>0</v>
      </c>
      <c r="N875" t="n">
        <v>0</v>
      </c>
      <c r="O875" t="n">
        <v>0</v>
      </c>
      <c r="P875" t="n">
        <v>0</v>
      </c>
      <c r="Q875" t="n">
        <v>0</v>
      </c>
      <c r="R875" s="2" t="inlineStr"/>
    </row>
    <row r="876" ht="15" customHeight="1">
      <c r="A876" t="inlineStr">
        <is>
          <t>A 56547-2024</t>
        </is>
      </c>
      <c r="B876" s="1" t="n">
        <v>45625.56934027778</v>
      </c>
      <c r="C876" s="1" t="n">
        <v>46046</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37244-2025</t>
        </is>
      </c>
      <c r="B877" s="1" t="n">
        <v>45876.39362268519</v>
      </c>
      <c r="C877" s="1" t="n">
        <v>46046</v>
      </c>
      <c r="D877" t="inlineStr">
        <is>
          <t>JÄMTLANDS LÄN</t>
        </is>
      </c>
      <c r="E877" t="inlineStr">
        <is>
          <t>HÄRJEDALEN</t>
        </is>
      </c>
      <c r="F877" t="inlineStr">
        <is>
          <t>Bergvik skog väst AB</t>
        </is>
      </c>
      <c r="G877" t="n">
        <v>14.4</v>
      </c>
      <c r="H877" t="n">
        <v>0</v>
      </c>
      <c r="I877" t="n">
        <v>0</v>
      </c>
      <c r="J877" t="n">
        <v>0</v>
      </c>
      <c r="K877" t="n">
        <v>0</v>
      </c>
      <c r="L877" t="n">
        <v>0</v>
      </c>
      <c r="M877" t="n">
        <v>0</v>
      </c>
      <c r="N877" t="n">
        <v>0</v>
      </c>
      <c r="O877" t="n">
        <v>0</v>
      </c>
      <c r="P877" t="n">
        <v>0</v>
      </c>
      <c r="Q877" t="n">
        <v>0</v>
      </c>
      <c r="R877" s="2" t="inlineStr"/>
    </row>
    <row r="878" ht="15" customHeight="1">
      <c r="A878" t="inlineStr">
        <is>
          <t>A 37281-2025</t>
        </is>
      </c>
      <c r="B878" s="1" t="n">
        <v>45876.49113425926</v>
      </c>
      <c r="C878" s="1" t="n">
        <v>46046</v>
      </c>
      <c r="D878" t="inlineStr">
        <is>
          <t>JÄMTLANDS LÄN</t>
        </is>
      </c>
      <c r="E878" t="inlineStr">
        <is>
          <t>HÄRJEDALEN</t>
        </is>
      </c>
      <c r="G878" t="n">
        <v>2.6</v>
      </c>
      <c r="H878" t="n">
        <v>0</v>
      </c>
      <c r="I878" t="n">
        <v>0</v>
      </c>
      <c r="J878" t="n">
        <v>0</v>
      </c>
      <c r="K878" t="n">
        <v>0</v>
      </c>
      <c r="L878" t="n">
        <v>0</v>
      </c>
      <c r="M878" t="n">
        <v>0</v>
      </c>
      <c r="N878" t="n">
        <v>0</v>
      </c>
      <c r="O878" t="n">
        <v>0</v>
      </c>
      <c r="P878" t="n">
        <v>0</v>
      </c>
      <c r="Q878" t="n">
        <v>0</v>
      </c>
      <c r="R878" s="2" t="inlineStr"/>
    </row>
    <row r="879" ht="15" customHeight="1">
      <c r="A879" t="inlineStr">
        <is>
          <t>A 35532-2021</t>
        </is>
      </c>
      <c r="B879" s="1" t="n">
        <v>44385</v>
      </c>
      <c r="C879" s="1" t="n">
        <v>46046</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49689-2022</t>
        </is>
      </c>
      <c r="B880" s="1" t="n">
        <v>44862</v>
      </c>
      <c r="C880" s="1" t="n">
        <v>46046</v>
      </c>
      <c r="D880" t="inlineStr">
        <is>
          <t>JÄMTLANDS LÄN</t>
        </is>
      </c>
      <c r="E880" t="inlineStr">
        <is>
          <t>HÄRJEDALEN</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41955-2023</t>
        </is>
      </c>
      <c r="B881" s="1" t="n">
        <v>45174</v>
      </c>
      <c r="C881" s="1" t="n">
        <v>46046</v>
      </c>
      <c r="D881" t="inlineStr">
        <is>
          <t>JÄMTLANDS LÄN</t>
        </is>
      </c>
      <c r="E881" t="inlineStr">
        <is>
          <t>HÄRJEDALEN</t>
        </is>
      </c>
      <c r="G881" t="n">
        <v>60.5</v>
      </c>
      <c r="H881" t="n">
        <v>0</v>
      </c>
      <c r="I881" t="n">
        <v>0</v>
      </c>
      <c r="J881" t="n">
        <v>0</v>
      </c>
      <c r="K881" t="n">
        <v>0</v>
      </c>
      <c r="L881" t="n">
        <v>0</v>
      </c>
      <c r="M881" t="n">
        <v>0</v>
      </c>
      <c r="N881" t="n">
        <v>0</v>
      </c>
      <c r="O881" t="n">
        <v>0</v>
      </c>
      <c r="P881" t="n">
        <v>0</v>
      </c>
      <c r="Q881" t="n">
        <v>0</v>
      </c>
      <c r="R881" s="2" t="inlineStr"/>
    </row>
    <row r="882" ht="15" customHeight="1">
      <c r="A882" t="inlineStr">
        <is>
          <t>A 37839-2025</t>
        </is>
      </c>
      <c r="B882" s="1" t="n">
        <v>45881.43114583333</v>
      </c>
      <c r="C882" s="1" t="n">
        <v>46046</v>
      </c>
      <c r="D882" t="inlineStr">
        <is>
          <t>JÄMTLANDS LÄN</t>
        </is>
      </c>
      <c r="E882" t="inlineStr">
        <is>
          <t>HÄRJEDALEN</t>
        </is>
      </c>
      <c r="G882" t="n">
        <v>1.9</v>
      </c>
      <c r="H882" t="n">
        <v>0</v>
      </c>
      <c r="I882" t="n">
        <v>0</v>
      </c>
      <c r="J882" t="n">
        <v>0</v>
      </c>
      <c r="K882" t="n">
        <v>0</v>
      </c>
      <c r="L882" t="n">
        <v>0</v>
      </c>
      <c r="M882" t="n">
        <v>0</v>
      </c>
      <c r="N882" t="n">
        <v>0</v>
      </c>
      <c r="O882" t="n">
        <v>0</v>
      </c>
      <c r="P882" t="n">
        <v>0</v>
      </c>
      <c r="Q882" t="n">
        <v>0</v>
      </c>
      <c r="R882" s="2" t="inlineStr"/>
    </row>
    <row r="883" ht="15" customHeight="1">
      <c r="A883" t="inlineStr">
        <is>
          <t>A 37288-2025</t>
        </is>
      </c>
      <c r="B883" s="1" t="n">
        <v>45876</v>
      </c>
      <c r="C883" s="1" t="n">
        <v>46046</v>
      </c>
      <c r="D883" t="inlineStr">
        <is>
          <t>JÄMTLANDS LÄN</t>
        </is>
      </c>
      <c r="E883" t="inlineStr">
        <is>
          <t>HÄRJEDALEN</t>
        </is>
      </c>
      <c r="F883" t="inlineStr">
        <is>
          <t>Bergvik skog väst AB</t>
        </is>
      </c>
      <c r="G883" t="n">
        <v>2.4</v>
      </c>
      <c r="H883" t="n">
        <v>0</v>
      </c>
      <c r="I883" t="n">
        <v>0</v>
      </c>
      <c r="J883" t="n">
        <v>0</v>
      </c>
      <c r="K883" t="n">
        <v>0</v>
      </c>
      <c r="L883" t="n">
        <v>0</v>
      </c>
      <c r="M883" t="n">
        <v>0</v>
      </c>
      <c r="N883" t="n">
        <v>0</v>
      </c>
      <c r="O883" t="n">
        <v>0</v>
      </c>
      <c r="P883" t="n">
        <v>0</v>
      </c>
      <c r="Q883" t="n">
        <v>0</v>
      </c>
      <c r="R883" s="2" t="inlineStr"/>
    </row>
    <row r="884" ht="15" customHeight="1">
      <c r="A884" t="inlineStr">
        <is>
          <t>A 37963-2025</t>
        </is>
      </c>
      <c r="B884" s="1" t="n">
        <v>45881.6609375</v>
      </c>
      <c r="C884" s="1" t="n">
        <v>46046</v>
      </c>
      <c r="D884" t="inlineStr">
        <is>
          <t>JÄMTLANDS LÄN</t>
        </is>
      </c>
      <c r="E884" t="inlineStr">
        <is>
          <t>HÄRJEDALEN</t>
        </is>
      </c>
      <c r="G884" t="n">
        <v>15.6</v>
      </c>
      <c r="H884" t="n">
        <v>0</v>
      </c>
      <c r="I884" t="n">
        <v>0</v>
      </c>
      <c r="J884" t="n">
        <v>0</v>
      </c>
      <c r="K884" t="n">
        <v>0</v>
      </c>
      <c r="L884" t="n">
        <v>0</v>
      </c>
      <c r="M884" t="n">
        <v>0</v>
      </c>
      <c r="N884" t="n">
        <v>0</v>
      </c>
      <c r="O884" t="n">
        <v>0</v>
      </c>
      <c r="P884" t="n">
        <v>0</v>
      </c>
      <c r="Q884" t="n">
        <v>0</v>
      </c>
      <c r="R884" s="2" t="inlineStr"/>
    </row>
    <row r="885" ht="15" customHeight="1">
      <c r="A885" t="inlineStr">
        <is>
          <t>A 7384-2025</t>
        </is>
      </c>
      <c r="B885" s="1" t="n">
        <v>45705.32456018519</v>
      </c>
      <c r="C885" s="1" t="n">
        <v>46046</v>
      </c>
      <c r="D885" t="inlineStr">
        <is>
          <t>JÄMTLANDS LÄN</t>
        </is>
      </c>
      <c r="E885" t="inlineStr">
        <is>
          <t>HÄRJEDALEN</t>
        </is>
      </c>
      <c r="G885" t="n">
        <v>6.4</v>
      </c>
      <c r="H885" t="n">
        <v>0</v>
      </c>
      <c r="I885" t="n">
        <v>0</v>
      </c>
      <c r="J885" t="n">
        <v>0</v>
      </c>
      <c r="K885" t="n">
        <v>0</v>
      </c>
      <c r="L885" t="n">
        <v>0</v>
      </c>
      <c r="M885" t="n">
        <v>0</v>
      </c>
      <c r="N885" t="n">
        <v>0</v>
      </c>
      <c r="O885" t="n">
        <v>0</v>
      </c>
      <c r="P885" t="n">
        <v>0</v>
      </c>
      <c r="Q885" t="n">
        <v>0</v>
      </c>
      <c r="R885" s="2" t="inlineStr"/>
    </row>
    <row r="886" ht="15" customHeight="1">
      <c r="A886" t="inlineStr">
        <is>
          <t>A 37957-2025</t>
        </is>
      </c>
      <c r="B886" s="1" t="n">
        <v>45881.64365740741</v>
      </c>
      <c r="C886" s="1" t="n">
        <v>46046</v>
      </c>
      <c r="D886" t="inlineStr">
        <is>
          <t>JÄMTLANDS LÄN</t>
        </is>
      </c>
      <c r="E886" t="inlineStr">
        <is>
          <t>HÄRJEDALEN</t>
        </is>
      </c>
      <c r="G886" t="n">
        <v>4.2</v>
      </c>
      <c r="H886" t="n">
        <v>0</v>
      </c>
      <c r="I886" t="n">
        <v>0</v>
      </c>
      <c r="J886" t="n">
        <v>0</v>
      </c>
      <c r="K886" t="n">
        <v>0</v>
      </c>
      <c r="L886" t="n">
        <v>0</v>
      </c>
      <c r="M886" t="n">
        <v>0</v>
      </c>
      <c r="N886" t="n">
        <v>0</v>
      </c>
      <c r="O886" t="n">
        <v>0</v>
      </c>
      <c r="P886" t="n">
        <v>0</v>
      </c>
      <c r="Q886" t="n">
        <v>0</v>
      </c>
      <c r="R886" s="2" t="inlineStr"/>
    </row>
    <row r="887" ht="15" customHeight="1">
      <c r="A887" t="inlineStr">
        <is>
          <t>A 37865-2025</t>
        </is>
      </c>
      <c r="B887" s="1" t="n">
        <v>45881.46869212963</v>
      </c>
      <c r="C887" s="1" t="n">
        <v>46046</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38898-2025</t>
        </is>
      </c>
      <c r="B888" s="1" t="n">
        <v>45887.59913194444</v>
      </c>
      <c r="C888" s="1" t="n">
        <v>46046</v>
      </c>
      <c r="D888" t="inlineStr">
        <is>
          <t>JÄMTLANDS LÄN</t>
        </is>
      </c>
      <c r="E888" t="inlineStr">
        <is>
          <t>HÄRJEDALEN</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19962-2021</t>
        </is>
      </c>
      <c r="B889" s="1" t="n">
        <v>44312</v>
      </c>
      <c r="C889" s="1" t="n">
        <v>46046</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37571-2025</t>
        </is>
      </c>
      <c r="B890" s="1" t="n">
        <v>45880.37472222222</v>
      </c>
      <c r="C890" s="1" t="n">
        <v>46046</v>
      </c>
      <c r="D890" t="inlineStr">
        <is>
          <t>JÄMTLANDS LÄN</t>
        </is>
      </c>
      <c r="E890" t="inlineStr">
        <is>
          <t>HÄRJEDALEN</t>
        </is>
      </c>
      <c r="G890" t="n">
        <v>2.7</v>
      </c>
      <c r="H890" t="n">
        <v>0</v>
      </c>
      <c r="I890" t="n">
        <v>0</v>
      </c>
      <c r="J890" t="n">
        <v>0</v>
      </c>
      <c r="K890" t="n">
        <v>0</v>
      </c>
      <c r="L890" t="n">
        <v>0</v>
      </c>
      <c r="M890" t="n">
        <v>0</v>
      </c>
      <c r="N890" t="n">
        <v>0</v>
      </c>
      <c r="O890" t="n">
        <v>0</v>
      </c>
      <c r="P890" t="n">
        <v>0</v>
      </c>
      <c r="Q890" t="n">
        <v>0</v>
      </c>
      <c r="R890" s="2" t="inlineStr"/>
    </row>
    <row r="891" ht="15" customHeight="1">
      <c r="A891" t="inlineStr">
        <is>
          <t>A 46128-2025</t>
        </is>
      </c>
      <c r="B891" s="1" t="n">
        <v>45924.59215277778</v>
      </c>
      <c r="C891" s="1" t="n">
        <v>46046</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65150-2023</t>
        </is>
      </c>
      <c r="B892" s="1" t="n">
        <v>45288.58685185185</v>
      </c>
      <c r="C892" s="1" t="n">
        <v>46046</v>
      </c>
      <c r="D892" t="inlineStr">
        <is>
          <t>JÄMTLANDS LÄN</t>
        </is>
      </c>
      <c r="E892" t="inlineStr">
        <is>
          <t>HÄRJEDALEN</t>
        </is>
      </c>
      <c r="G892" t="n">
        <v>2.2</v>
      </c>
      <c r="H892" t="n">
        <v>0</v>
      </c>
      <c r="I892" t="n">
        <v>0</v>
      </c>
      <c r="J892" t="n">
        <v>0</v>
      </c>
      <c r="K892" t="n">
        <v>0</v>
      </c>
      <c r="L892" t="n">
        <v>0</v>
      </c>
      <c r="M892" t="n">
        <v>0</v>
      </c>
      <c r="N892" t="n">
        <v>0</v>
      </c>
      <c r="O892" t="n">
        <v>0</v>
      </c>
      <c r="P892" t="n">
        <v>0</v>
      </c>
      <c r="Q892" t="n">
        <v>0</v>
      </c>
      <c r="R892" s="2" t="inlineStr"/>
    </row>
    <row r="893" ht="15" customHeight="1">
      <c r="A893" t="inlineStr">
        <is>
          <t>A 38169-2025</t>
        </is>
      </c>
      <c r="B893" s="1" t="n">
        <v>45882.63179398148</v>
      </c>
      <c r="C893" s="1" t="n">
        <v>46046</v>
      </c>
      <c r="D893" t="inlineStr">
        <is>
          <t>JÄMTLANDS LÄN</t>
        </is>
      </c>
      <c r="E893" t="inlineStr">
        <is>
          <t>HÄRJEDALEN</t>
        </is>
      </c>
      <c r="F893" t="inlineStr">
        <is>
          <t>Bergvik skog väst AB</t>
        </is>
      </c>
      <c r="G893" t="n">
        <v>18.4</v>
      </c>
      <c r="H893" t="n">
        <v>0</v>
      </c>
      <c r="I893" t="n">
        <v>0</v>
      </c>
      <c r="J893" t="n">
        <v>0</v>
      </c>
      <c r="K893" t="n">
        <v>0</v>
      </c>
      <c r="L893" t="n">
        <v>0</v>
      </c>
      <c r="M893" t="n">
        <v>0</v>
      </c>
      <c r="N893" t="n">
        <v>0</v>
      </c>
      <c r="O893" t="n">
        <v>0</v>
      </c>
      <c r="P893" t="n">
        <v>0</v>
      </c>
      <c r="Q893" t="n">
        <v>0</v>
      </c>
      <c r="R893" s="2" t="inlineStr"/>
    </row>
    <row r="894" ht="15" customHeight="1">
      <c r="A894" t="inlineStr">
        <is>
          <t>A 44438-2025</t>
        </is>
      </c>
      <c r="B894" s="1" t="n">
        <v>45916</v>
      </c>
      <c r="C894" s="1" t="n">
        <v>46046</v>
      </c>
      <c r="D894" t="inlineStr">
        <is>
          <t>JÄMTLANDS LÄN</t>
        </is>
      </c>
      <c r="E894" t="inlineStr">
        <is>
          <t>HÄRJEDALEN</t>
        </is>
      </c>
      <c r="F894" t="inlineStr">
        <is>
          <t>Bergvik skog väst AB</t>
        </is>
      </c>
      <c r="G894" t="n">
        <v>7.8</v>
      </c>
      <c r="H894" t="n">
        <v>0</v>
      </c>
      <c r="I894" t="n">
        <v>0</v>
      </c>
      <c r="J894" t="n">
        <v>0</v>
      </c>
      <c r="K894" t="n">
        <v>0</v>
      </c>
      <c r="L894" t="n">
        <v>0</v>
      </c>
      <c r="M894" t="n">
        <v>0</v>
      </c>
      <c r="N894" t="n">
        <v>0</v>
      </c>
      <c r="O894" t="n">
        <v>0</v>
      </c>
      <c r="P894" t="n">
        <v>0</v>
      </c>
      <c r="Q894" t="n">
        <v>0</v>
      </c>
      <c r="R894" s="2" t="inlineStr"/>
    </row>
    <row r="895" ht="15" customHeight="1">
      <c r="A895" t="inlineStr">
        <is>
          <t>A 38349-2025</t>
        </is>
      </c>
      <c r="B895" s="1" t="n">
        <v>45883.51854166666</v>
      </c>
      <c r="C895" s="1" t="n">
        <v>46046</v>
      </c>
      <c r="D895" t="inlineStr">
        <is>
          <t>JÄMTLANDS LÄN</t>
        </is>
      </c>
      <c r="E895" t="inlineStr">
        <is>
          <t>HÄRJEDALEN</t>
        </is>
      </c>
      <c r="G895" t="n">
        <v>6.8</v>
      </c>
      <c r="H895" t="n">
        <v>0</v>
      </c>
      <c r="I895" t="n">
        <v>0</v>
      </c>
      <c r="J895" t="n">
        <v>0</v>
      </c>
      <c r="K895" t="n">
        <v>0</v>
      </c>
      <c r="L895" t="n">
        <v>0</v>
      </c>
      <c r="M895" t="n">
        <v>0</v>
      </c>
      <c r="N895" t="n">
        <v>0</v>
      </c>
      <c r="O895" t="n">
        <v>0</v>
      </c>
      <c r="P895" t="n">
        <v>0</v>
      </c>
      <c r="Q895" t="n">
        <v>0</v>
      </c>
      <c r="R895" s="2" t="inlineStr"/>
    </row>
    <row r="896" ht="15" customHeight="1">
      <c r="A896" t="inlineStr">
        <is>
          <t>A 22728-2023</t>
        </is>
      </c>
      <c r="B896" s="1" t="n">
        <v>45071.92488425926</v>
      </c>
      <c r="C896" s="1" t="n">
        <v>46046</v>
      </c>
      <c r="D896" t="inlineStr">
        <is>
          <t>JÄMTLANDS LÄN</t>
        </is>
      </c>
      <c r="E896" t="inlineStr">
        <is>
          <t>HÄRJEDALEN</t>
        </is>
      </c>
      <c r="G896" t="n">
        <v>2.8</v>
      </c>
      <c r="H896" t="n">
        <v>0</v>
      </c>
      <c r="I896" t="n">
        <v>0</v>
      </c>
      <c r="J896" t="n">
        <v>0</v>
      </c>
      <c r="K896" t="n">
        <v>0</v>
      </c>
      <c r="L896" t="n">
        <v>0</v>
      </c>
      <c r="M896" t="n">
        <v>0</v>
      </c>
      <c r="N896" t="n">
        <v>0</v>
      </c>
      <c r="O896" t="n">
        <v>0</v>
      </c>
      <c r="P896" t="n">
        <v>0</v>
      </c>
      <c r="Q896" t="n">
        <v>0</v>
      </c>
      <c r="R896" s="2" t="inlineStr"/>
    </row>
    <row r="897" ht="15" customHeight="1">
      <c r="A897" t="inlineStr">
        <is>
          <t>A 38402-2025</t>
        </is>
      </c>
      <c r="B897" s="1" t="n">
        <v>45883.58944444444</v>
      </c>
      <c r="C897" s="1" t="n">
        <v>46046</v>
      </c>
      <c r="D897" t="inlineStr">
        <is>
          <t>JÄMTLANDS LÄN</t>
        </is>
      </c>
      <c r="E897" t="inlineStr">
        <is>
          <t>HÄRJEDALEN</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38820-2025</t>
        </is>
      </c>
      <c r="B898" s="1" t="n">
        <v>45887</v>
      </c>
      <c r="C898" s="1" t="n">
        <v>46046</v>
      </c>
      <c r="D898" t="inlineStr">
        <is>
          <t>JÄMTLANDS LÄN</t>
        </is>
      </c>
      <c r="E898" t="inlineStr">
        <is>
          <t>HÄRJEDALEN</t>
        </is>
      </c>
      <c r="F898" t="inlineStr">
        <is>
          <t>Bergvik skog väst AB</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37808-2025</t>
        </is>
      </c>
      <c r="B899" s="1" t="n">
        <v>45881.36469907407</v>
      </c>
      <c r="C899" s="1" t="n">
        <v>46046</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38276-2025</t>
        </is>
      </c>
      <c r="B900" s="1" t="n">
        <v>45883.4108912037</v>
      </c>
      <c r="C900" s="1" t="n">
        <v>46046</v>
      </c>
      <c r="D900" t="inlineStr">
        <is>
          <t>JÄMTLANDS LÄN</t>
        </is>
      </c>
      <c r="E900" t="inlineStr">
        <is>
          <t>HÄRJEDALEN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38183-2025</t>
        </is>
      </c>
      <c r="B901" s="1" t="n">
        <v>45882.64755787037</v>
      </c>
      <c r="C901" s="1" t="n">
        <v>46046</v>
      </c>
      <c r="D901" t="inlineStr">
        <is>
          <t>JÄMTLANDS LÄN</t>
        </is>
      </c>
      <c r="E901" t="inlineStr">
        <is>
          <t>HÄRJEDALEN</t>
        </is>
      </c>
      <c r="F901" t="inlineStr">
        <is>
          <t>Bergvik skog väst AB</t>
        </is>
      </c>
      <c r="G901" t="n">
        <v>30.9</v>
      </c>
      <c r="H901" t="n">
        <v>0</v>
      </c>
      <c r="I901" t="n">
        <v>0</v>
      </c>
      <c r="J901" t="n">
        <v>0</v>
      </c>
      <c r="K901" t="n">
        <v>0</v>
      </c>
      <c r="L901" t="n">
        <v>0</v>
      </c>
      <c r="M901" t="n">
        <v>0</v>
      </c>
      <c r="N901" t="n">
        <v>0</v>
      </c>
      <c r="O901" t="n">
        <v>0</v>
      </c>
      <c r="P901" t="n">
        <v>0</v>
      </c>
      <c r="Q901" t="n">
        <v>0</v>
      </c>
      <c r="R901" s="2" t="inlineStr"/>
    </row>
    <row r="902" ht="15" customHeight="1">
      <c r="A902" t="inlineStr">
        <is>
          <t>A 55931-2022</t>
        </is>
      </c>
      <c r="B902" s="1" t="n">
        <v>44886</v>
      </c>
      <c r="C902" s="1" t="n">
        <v>46046</v>
      </c>
      <c r="D902" t="inlineStr">
        <is>
          <t>JÄMTLANDS LÄN</t>
        </is>
      </c>
      <c r="E902" t="inlineStr">
        <is>
          <t>HÄRJEDALEN</t>
        </is>
      </c>
      <c r="F902" t="inlineStr">
        <is>
          <t>Övriga statliga verk och myndigheter</t>
        </is>
      </c>
      <c r="G902" t="n">
        <v>2.9</v>
      </c>
      <c r="H902" t="n">
        <v>0</v>
      </c>
      <c r="I902" t="n">
        <v>0</v>
      </c>
      <c r="J902" t="n">
        <v>0</v>
      </c>
      <c r="K902" t="n">
        <v>0</v>
      </c>
      <c r="L902" t="n">
        <v>0</v>
      </c>
      <c r="M902" t="n">
        <v>0</v>
      </c>
      <c r="N902" t="n">
        <v>0</v>
      </c>
      <c r="O902" t="n">
        <v>0</v>
      </c>
      <c r="P902" t="n">
        <v>0</v>
      </c>
      <c r="Q902" t="n">
        <v>0</v>
      </c>
      <c r="R902" s="2" t="inlineStr"/>
    </row>
    <row r="903" ht="15" customHeight="1">
      <c r="A903" t="inlineStr">
        <is>
          <t>A 38618-2025</t>
        </is>
      </c>
      <c r="B903" s="1" t="n">
        <v>45884.55263888889</v>
      </c>
      <c r="C903" s="1" t="n">
        <v>46046</v>
      </c>
      <c r="D903" t="inlineStr">
        <is>
          <t>JÄMTLANDS LÄN</t>
        </is>
      </c>
      <c r="E903" t="inlineStr">
        <is>
          <t>HÄRJEDALEN</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48051-2023</t>
        </is>
      </c>
      <c r="B904" s="1" t="n">
        <v>45204</v>
      </c>
      <c r="C904" s="1" t="n">
        <v>46046</v>
      </c>
      <c r="D904" t="inlineStr">
        <is>
          <t>JÄMTLANDS LÄN</t>
        </is>
      </c>
      <c r="E904" t="inlineStr">
        <is>
          <t>HÄRJEDALEN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18646-2023</t>
        </is>
      </c>
      <c r="B905" s="1" t="n">
        <v>45041</v>
      </c>
      <c r="C905" s="1" t="n">
        <v>46046</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57202-2023</t>
        </is>
      </c>
      <c r="B906" s="1" t="n">
        <v>45245</v>
      </c>
      <c r="C906" s="1" t="n">
        <v>46046</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4879-2025</t>
        </is>
      </c>
      <c r="B907" s="1" t="n">
        <v>45688.6769212963</v>
      </c>
      <c r="C907" s="1" t="n">
        <v>46046</v>
      </c>
      <c r="D907" t="inlineStr">
        <is>
          <t>JÄMTLANDS LÄN</t>
        </is>
      </c>
      <c r="E907" t="inlineStr">
        <is>
          <t>HÄRJEDALEN</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49969-2023</t>
        </is>
      </c>
      <c r="B908" s="1" t="n">
        <v>45215</v>
      </c>
      <c r="C908" s="1" t="n">
        <v>46046</v>
      </c>
      <c r="D908" t="inlineStr">
        <is>
          <t>JÄMTLANDS LÄN</t>
        </is>
      </c>
      <c r="E908" t="inlineStr">
        <is>
          <t>HÄRJEDALEN</t>
        </is>
      </c>
      <c r="G908" t="n">
        <v>43.7</v>
      </c>
      <c r="H908" t="n">
        <v>0</v>
      </c>
      <c r="I908" t="n">
        <v>0</v>
      </c>
      <c r="J908" t="n">
        <v>0</v>
      </c>
      <c r="K908" t="n">
        <v>0</v>
      </c>
      <c r="L908" t="n">
        <v>0</v>
      </c>
      <c r="M908" t="n">
        <v>0</v>
      </c>
      <c r="N908" t="n">
        <v>0</v>
      </c>
      <c r="O908" t="n">
        <v>0</v>
      </c>
      <c r="P908" t="n">
        <v>0</v>
      </c>
      <c r="Q908" t="n">
        <v>0</v>
      </c>
      <c r="R908" s="2" t="inlineStr"/>
    </row>
    <row r="909" ht="15" customHeight="1">
      <c r="A909" t="inlineStr">
        <is>
          <t>A 13723-2024</t>
        </is>
      </c>
      <c r="B909" s="1" t="n">
        <v>45390</v>
      </c>
      <c r="C909" s="1" t="n">
        <v>46046</v>
      </c>
      <c r="D909" t="inlineStr">
        <is>
          <t>JÄMTLANDS LÄN</t>
        </is>
      </c>
      <c r="E909" t="inlineStr">
        <is>
          <t>HÄRJEDALEN</t>
        </is>
      </c>
      <c r="G909" t="n">
        <v>2.5</v>
      </c>
      <c r="H909" t="n">
        <v>0</v>
      </c>
      <c r="I909" t="n">
        <v>0</v>
      </c>
      <c r="J909" t="n">
        <v>0</v>
      </c>
      <c r="K909" t="n">
        <v>0</v>
      </c>
      <c r="L909" t="n">
        <v>0</v>
      </c>
      <c r="M909" t="n">
        <v>0</v>
      </c>
      <c r="N909" t="n">
        <v>0</v>
      </c>
      <c r="O909" t="n">
        <v>0</v>
      </c>
      <c r="P909" t="n">
        <v>0</v>
      </c>
      <c r="Q909" t="n">
        <v>0</v>
      </c>
      <c r="R909" s="2" t="inlineStr"/>
    </row>
    <row r="910" ht="15" customHeight="1">
      <c r="A910" t="inlineStr">
        <is>
          <t>A 16151-2024</t>
        </is>
      </c>
      <c r="B910" s="1" t="n">
        <v>45406</v>
      </c>
      <c r="C910" s="1" t="n">
        <v>46046</v>
      </c>
      <c r="D910" t="inlineStr">
        <is>
          <t>JÄMTLANDS LÄN</t>
        </is>
      </c>
      <c r="E910" t="inlineStr">
        <is>
          <t>HÄRJEDALEN</t>
        </is>
      </c>
      <c r="F910" t="inlineStr">
        <is>
          <t>Holmen skog AB</t>
        </is>
      </c>
      <c r="G910" t="n">
        <v>21.6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44987.34981481481</v>
      </c>
      <c r="C911" s="1" t="n">
        <v>46046</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39290-2025</t>
        </is>
      </c>
      <c r="B912" s="1" t="n">
        <v>45889.40916666666</v>
      </c>
      <c r="C912" s="1" t="n">
        <v>46046</v>
      </c>
      <c r="D912" t="inlineStr">
        <is>
          <t>JÄMTLANDS LÄN</t>
        </is>
      </c>
      <c r="E912" t="inlineStr">
        <is>
          <t>HÄRJEDALEN</t>
        </is>
      </c>
      <c r="G912" t="n">
        <v>10.9</v>
      </c>
      <c r="H912" t="n">
        <v>0</v>
      </c>
      <c r="I912" t="n">
        <v>0</v>
      </c>
      <c r="J912" t="n">
        <v>0</v>
      </c>
      <c r="K912" t="n">
        <v>0</v>
      </c>
      <c r="L912" t="n">
        <v>0</v>
      </c>
      <c r="M912" t="n">
        <v>0</v>
      </c>
      <c r="N912" t="n">
        <v>0</v>
      </c>
      <c r="O912" t="n">
        <v>0</v>
      </c>
      <c r="P912" t="n">
        <v>0</v>
      </c>
      <c r="Q912" t="n">
        <v>0</v>
      </c>
      <c r="R912" s="2" t="inlineStr"/>
    </row>
    <row r="913" ht="15" customHeight="1">
      <c r="A913" t="inlineStr">
        <is>
          <t>A 39291-2025</t>
        </is>
      </c>
      <c r="B913" s="1" t="n">
        <v>45889.41715277778</v>
      </c>
      <c r="C913" s="1" t="n">
        <v>46046</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20342-2025</t>
        </is>
      </c>
      <c r="B914" s="1" t="n">
        <v>45775.36589120371</v>
      </c>
      <c r="C914" s="1" t="n">
        <v>46046</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41058-2023</t>
        </is>
      </c>
      <c r="B915" s="1" t="n">
        <v>45173</v>
      </c>
      <c r="C915" s="1" t="n">
        <v>46046</v>
      </c>
      <c r="D915" t="inlineStr">
        <is>
          <t>JÄMTLANDS LÄN</t>
        </is>
      </c>
      <c r="E915" t="inlineStr">
        <is>
          <t>HÄRJEDALEN</t>
        </is>
      </c>
      <c r="G915" t="n">
        <v>6</v>
      </c>
      <c r="H915" t="n">
        <v>0</v>
      </c>
      <c r="I915" t="n">
        <v>0</v>
      </c>
      <c r="J915" t="n">
        <v>0</v>
      </c>
      <c r="K915" t="n">
        <v>0</v>
      </c>
      <c r="L915" t="n">
        <v>0</v>
      </c>
      <c r="M915" t="n">
        <v>0</v>
      </c>
      <c r="N915" t="n">
        <v>0</v>
      </c>
      <c r="O915" t="n">
        <v>0</v>
      </c>
      <c r="P915" t="n">
        <v>0</v>
      </c>
      <c r="Q915" t="n">
        <v>0</v>
      </c>
      <c r="R915" s="2" t="inlineStr"/>
    </row>
    <row r="916" ht="15" customHeight="1">
      <c r="A916" t="inlineStr">
        <is>
          <t>A 39140-2025</t>
        </is>
      </c>
      <c r="B916" s="1" t="n">
        <v>45888.59509259259</v>
      </c>
      <c r="C916" s="1" t="n">
        <v>46046</v>
      </c>
      <c r="D916" t="inlineStr">
        <is>
          <t>JÄMTLANDS LÄN</t>
        </is>
      </c>
      <c r="E916" t="inlineStr">
        <is>
          <t>HÄRJEDALEN</t>
        </is>
      </c>
      <c r="G916" t="n">
        <v>14.8</v>
      </c>
      <c r="H916" t="n">
        <v>0</v>
      </c>
      <c r="I916" t="n">
        <v>0</v>
      </c>
      <c r="J916" t="n">
        <v>0</v>
      </c>
      <c r="K916" t="n">
        <v>0</v>
      </c>
      <c r="L916" t="n">
        <v>0</v>
      </c>
      <c r="M916" t="n">
        <v>0</v>
      </c>
      <c r="N916" t="n">
        <v>0</v>
      </c>
      <c r="O916" t="n">
        <v>0</v>
      </c>
      <c r="P916" t="n">
        <v>0</v>
      </c>
      <c r="Q916" t="n">
        <v>0</v>
      </c>
      <c r="R916" s="2" t="inlineStr"/>
    </row>
    <row r="917" ht="15" customHeight="1">
      <c r="A917" t="inlineStr">
        <is>
          <t>A 56182-2024</t>
        </is>
      </c>
      <c r="B917" s="1" t="n">
        <v>45624.57098379629</v>
      </c>
      <c r="C917" s="1" t="n">
        <v>46046</v>
      </c>
      <c r="D917" t="inlineStr">
        <is>
          <t>JÄMTLANDS LÄN</t>
        </is>
      </c>
      <c r="E917" t="inlineStr">
        <is>
          <t>HÄRJEDALEN</t>
        </is>
      </c>
      <c r="G917" t="n">
        <v>9</v>
      </c>
      <c r="H917" t="n">
        <v>0</v>
      </c>
      <c r="I917" t="n">
        <v>0</v>
      </c>
      <c r="J917" t="n">
        <v>0</v>
      </c>
      <c r="K917" t="n">
        <v>0</v>
      </c>
      <c r="L917" t="n">
        <v>0</v>
      </c>
      <c r="M917" t="n">
        <v>0</v>
      </c>
      <c r="N917" t="n">
        <v>0</v>
      </c>
      <c r="O917" t="n">
        <v>0</v>
      </c>
      <c r="P917" t="n">
        <v>0</v>
      </c>
      <c r="Q917" t="n">
        <v>0</v>
      </c>
      <c r="R917" s="2" t="inlineStr"/>
    </row>
    <row r="918" ht="15" customHeight="1">
      <c r="A918" t="inlineStr">
        <is>
          <t>A 39211-2025</t>
        </is>
      </c>
      <c r="B918" s="1" t="n">
        <v>45888.78539351852</v>
      </c>
      <c r="C918" s="1" t="n">
        <v>46046</v>
      </c>
      <c r="D918" t="inlineStr">
        <is>
          <t>JÄMTLANDS LÄN</t>
        </is>
      </c>
      <c r="E918" t="inlineStr">
        <is>
          <t>HÄRJEDALEN</t>
        </is>
      </c>
      <c r="G918" t="n">
        <v>1.2</v>
      </c>
      <c r="H918" t="n">
        <v>0</v>
      </c>
      <c r="I918" t="n">
        <v>0</v>
      </c>
      <c r="J918" t="n">
        <v>0</v>
      </c>
      <c r="K918" t="n">
        <v>0</v>
      </c>
      <c r="L918" t="n">
        <v>0</v>
      </c>
      <c r="M918" t="n">
        <v>0</v>
      </c>
      <c r="N918" t="n">
        <v>0</v>
      </c>
      <c r="O918" t="n">
        <v>0</v>
      </c>
      <c r="P918" t="n">
        <v>0</v>
      </c>
      <c r="Q918" t="n">
        <v>0</v>
      </c>
      <c r="R918" s="2" t="inlineStr"/>
    </row>
    <row r="919" ht="15" customHeight="1">
      <c r="A919" t="inlineStr">
        <is>
          <t>A 39212-2025</t>
        </is>
      </c>
      <c r="B919" s="1" t="n">
        <v>45888.78833333333</v>
      </c>
      <c r="C919" s="1" t="n">
        <v>46046</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39213-2025</t>
        </is>
      </c>
      <c r="B920" s="1" t="n">
        <v>45888.78960648148</v>
      </c>
      <c r="C920" s="1" t="n">
        <v>46046</v>
      </c>
      <c r="D920" t="inlineStr">
        <is>
          <t>JÄMTLANDS LÄN</t>
        </is>
      </c>
      <c r="E920" t="inlineStr">
        <is>
          <t>HÄRJEDALEN</t>
        </is>
      </c>
      <c r="G920" t="n">
        <v>0.9</v>
      </c>
      <c r="H920" t="n">
        <v>0</v>
      </c>
      <c r="I920" t="n">
        <v>0</v>
      </c>
      <c r="J920" t="n">
        <v>0</v>
      </c>
      <c r="K920" t="n">
        <v>0</v>
      </c>
      <c r="L920" t="n">
        <v>0</v>
      </c>
      <c r="M920" t="n">
        <v>0</v>
      </c>
      <c r="N920" t="n">
        <v>0</v>
      </c>
      <c r="O920" t="n">
        <v>0</v>
      </c>
      <c r="P920" t="n">
        <v>0</v>
      </c>
      <c r="Q920" t="n">
        <v>0</v>
      </c>
      <c r="R920" s="2" t="inlineStr"/>
    </row>
    <row r="921" ht="15" customHeight="1">
      <c r="A921" t="inlineStr">
        <is>
          <t>A 12484-2023</t>
        </is>
      </c>
      <c r="B921" s="1" t="n">
        <v>44998</v>
      </c>
      <c r="C921" s="1" t="n">
        <v>46046</v>
      </c>
      <c r="D921" t="inlineStr">
        <is>
          <t>JÄMTLANDS LÄN</t>
        </is>
      </c>
      <c r="E921" t="inlineStr">
        <is>
          <t>HÄRJEDALEN</t>
        </is>
      </c>
      <c r="G921" t="n">
        <v>43.1</v>
      </c>
      <c r="H921" t="n">
        <v>0</v>
      </c>
      <c r="I921" t="n">
        <v>0</v>
      </c>
      <c r="J921" t="n">
        <v>0</v>
      </c>
      <c r="K921" t="n">
        <v>0</v>
      </c>
      <c r="L921" t="n">
        <v>0</v>
      </c>
      <c r="M921" t="n">
        <v>0</v>
      </c>
      <c r="N921" t="n">
        <v>0</v>
      </c>
      <c r="O921" t="n">
        <v>0</v>
      </c>
      <c r="P921" t="n">
        <v>0</v>
      </c>
      <c r="Q921" t="n">
        <v>0</v>
      </c>
      <c r="R921" s="2" t="inlineStr"/>
    </row>
    <row r="922" ht="15" customHeight="1">
      <c r="A922" t="inlineStr">
        <is>
          <t>A 45123-2024</t>
        </is>
      </c>
      <c r="B922" s="1" t="n">
        <v>45575.6125925926</v>
      </c>
      <c r="C922" s="1" t="n">
        <v>46046</v>
      </c>
      <c r="D922" t="inlineStr">
        <is>
          <t>JÄMTLANDS LÄN</t>
        </is>
      </c>
      <c r="E922" t="inlineStr">
        <is>
          <t>HÄRJEDALEN</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7622-2025</t>
        </is>
      </c>
      <c r="B923" s="1" t="n">
        <v>45705.72106481482</v>
      </c>
      <c r="C923" s="1" t="n">
        <v>46046</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21767-2022</t>
        </is>
      </c>
      <c r="B924" s="1" t="n">
        <v>44708.45504629629</v>
      </c>
      <c r="C924" s="1" t="n">
        <v>46046</v>
      </c>
      <c r="D924" t="inlineStr">
        <is>
          <t>JÄMTLANDS LÄN</t>
        </is>
      </c>
      <c r="E924" t="inlineStr">
        <is>
          <t>HÄRJEDALEN</t>
        </is>
      </c>
      <c r="F924" t="inlineStr">
        <is>
          <t>Holmen skog AB</t>
        </is>
      </c>
      <c r="G924" t="n">
        <v>8.1</v>
      </c>
      <c r="H924" t="n">
        <v>0</v>
      </c>
      <c r="I924" t="n">
        <v>0</v>
      </c>
      <c r="J924" t="n">
        <v>0</v>
      </c>
      <c r="K924" t="n">
        <v>0</v>
      </c>
      <c r="L924" t="n">
        <v>0</v>
      </c>
      <c r="M924" t="n">
        <v>0</v>
      </c>
      <c r="N924" t="n">
        <v>0</v>
      </c>
      <c r="O924" t="n">
        <v>0</v>
      </c>
      <c r="P924" t="n">
        <v>0</v>
      </c>
      <c r="Q924" t="n">
        <v>0</v>
      </c>
      <c r="R924" s="2" t="inlineStr"/>
    </row>
    <row r="925" ht="15" customHeight="1">
      <c r="A925" t="inlineStr">
        <is>
          <t>A 40249-2025</t>
        </is>
      </c>
      <c r="B925" s="1" t="n">
        <v>45895.29387731481</v>
      </c>
      <c r="C925" s="1" t="n">
        <v>46046</v>
      </c>
      <c r="D925" t="inlineStr">
        <is>
          <t>JÄMTLANDS LÄN</t>
        </is>
      </c>
      <c r="E925" t="inlineStr">
        <is>
          <t>HÄRJEDALEN</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43294-2024</t>
        </is>
      </c>
      <c r="B926" s="1" t="n">
        <v>45568</v>
      </c>
      <c r="C926" s="1" t="n">
        <v>46046</v>
      </c>
      <c r="D926" t="inlineStr">
        <is>
          <t>JÄMTLANDS LÄN</t>
        </is>
      </c>
      <c r="E926" t="inlineStr">
        <is>
          <t>HÄRJEDALEN</t>
        </is>
      </c>
      <c r="F926" t="inlineStr">
        <is>
          <t>SCA</t>
        </is>
      </c>
      <c r="G926" t="n">
        <v>18.5</v>
      </c>
      <c r="H926" t="n">
        <v>0</v>
      </c>
      <c r="I926" t="n">
        <v>0</v>
      </c>
      <c r="J926" t="n">
        <v>0</v>
      </c>
      <c r="K926" t="n">
        <v>0</v>
      </c>
      <c r="L926" t="n">
        <v>0</v>
      </c>
      <c r="M926" t="n">
        <v>0</v>
      </c>
      <c r="N926" t="n">
        <v>0</v>
      </c>
      <c r="O926" t="n">
        <v>0</v>
      </c>
      <c r="P926" t="n">
        <v>0</v>
      </c>
      <c r="Q926" t="n">
        <v>0</v>
      </c>
      <c r="R926" s="2" t="inlineStr"/>
    </row>
    <row r="927" ht="15" customHeight="1">
      <c r="A927" t="inlineStr">
        <is>
          <t>A 55736-2023</t>
        </is>
      </c>
      <c r="B927" s="1" t="n">
        <v>45239.43173611111</v>
      </c>
      <c r="C927" s="1" t="n">
        <v>46046</v>
      </c>
      <c r="D927" t="inlineStr">
        <is>
          <t>JÄMTLANDS LÄN</t>
        </is>
      </c>
      <c r="E927" t="inlineStr">
        <is>
          <t>HÄRJEDALEN</t>
        </is>
      </c>
      <c r="F927" t="inlineStr">
        <is>
          <t>Holmen skog AB</t>
        </is>
      </c>
      <c r="G927" t="n">
        <v>8.9</v>
      </c>
      <c r="H927" t="n">
        <v>0</v>
      </c>
      <c r="I927" t="n">
        <v>0</v>
      </c>
      <c r="J927" t="n">
        <v>0</v>
      </c>
      <c r="K927" t="n">
        <v>0</v>
      </c>
      <c r="L927" t="n">
        <v>0</v>
      </c>
      <c r="M927" t="n">
        <v>0</v>
      </c>
      <c r="N927" t="n">
        <v>0</v>
      </c>
      <c r="O927" t="n">
        <v>0</v>
      </c>
      <c r="P927" t="n">
        <v>0</v>
      </c>
      <c r="Q927" t="n">
        <v>0</v>
      </c>
      <c r="R927" s="2" t="inlineStr"/>
    </row>
    <row r="928" ht="15" customHeight="1">
      <c r="A928" t="inlineStr">
        <is>
          <t>A 20033-2025</t>
        </is>
      </c>
      <c r="B928" s="1" t="n">
        <v>45772.36106481482</v>
      </c>
      <c r="C928" s="1" t="n">
        <v>46046</v>
      </c>
      <c r="D928" t="inlineStr">
        <is>
          <t>JÄMTLANDS LÄN</t>
        </is>
      </c>
      <c r="E928" t="inlineStr">
        <is>
          <t>HÄRJEDALEN</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52565-2023</t>
        </is>
      </c>
      <c r="B929" s="1" t="n">
        <v>45225.58005787037</v>
      </c>
      <c r="C929" s="1" t="n">
        <v>46046</v>
      </c>
      <c r="D929" t="inlineStr">
        <is>
          <t>JÄMTLANDS LÄN</t>
        </is>
      </c>
      <c r="E929" t="inlineStr">
        <is>
          <t>HÄRJEDALEN</t>
        </is>
      </c>
      <c r="G929" t="n">
        <v>2.1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44925.33584490741</v>
      </c>
      <c r="C930" s="1" t="n">
        <v>46046</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62641-2022</t>
        </is>
      </c>
      <c r="B931" s="1" t="n">
        <v>44925</v>
      </c>
      <c r="C931" s="1" t="n">
        <v>46046</v>
      </c>
      <c r="D931" t="inlineStr">
        <is>
          <t>JÄMTLANDS LÄN</t>
        </is>
      </c>
      <c r="E931" t="inlineStr">
        <is>
          <t>HÄRJEDALEN</t>
        </is>
      </c>
      <c r="G931" t="n">
        <v>2.7</v>
      </c>
      <c r="H931" t="n">
        <v>0</v>
      </c>
      <c r="I931" t="n">
        <v>0</v>
      </c>
      <c r="J931" t="n">
        <v>0</v>
      </c>
      <c r="K931" t="n">
        <v>0</v>
      </c>
      <c r="L931" t="n">
        <v>0</v>
      </c>
      <c r="M931" t="n">
        <v>0</v>
      </c>
      <c r="N931" t="n">
        <v>0</v>
      </c>
      <c r="O931" t="n">
        <v>0</v>
      </c>
      <c r="P931" t="n">
        <v>0</v>
      </c>
      <c r="Q931" t="n">
        <v>0</v>
      </c>
      <c r="R931" s="2" t="inlineStr"/>
    </row>
    <row r="932" ht="15" customHeight="1">
      <c r="A932" t="inlineStr">
        <is>
          <t>A 19353-2023</t>
        </is>
      </c>
      <c r="B932" s="1" t="n">
        <v>45049.59826388889</v>
      </c>
      <c r="C932" s="1" t="n">
        <v>46046</v>
      </c>
      <c r="D932" t="inlineStr">
        <is>
          <t>JÄMTLANDS LÄN</t>
        </is>
      </c>
      <c r="E932" t="inlineStr">
        <is>
          <t>HÄRJEDALEN</t>
        </is>
      </c>
      <c r="G932" t="n">
        <v>3.9</v>
      </c>
      <c r="H932" t="n">
        <v>0</v>
      </c>
      <c r="I932" t="n">
        <v>0</v>
      </c>
      <c r="J932" t="n">
        <v>0</v>
      </c>
      <c r="K932" t="n">
        <v>0</v>
      </c>
      <c r="L932" t="n">
        <v>0</v>
      </c>
      <c r="M932" t="n">
        <v>0</v>
      </c>
      <c r="N932" t="n">
        <v>0</v>
      </c>
      <c r="O932" t="n">
        <v>0</v>
      </c>
      <c r="P932" t="n">
        <v>0</v>
      </c>
      <c r="Q932" t="n">
        <v>0</v>
      </c>
      <c r="R932" s="2" t="inlineStr"/>
    </row>
    <row r="933" ht="15" customHeight="1">
      <c r="A933" t="inlineStr">
        <is>
          <t>A 58110-2024</t>
        </is>
      </c>
      <c r="B933" s="1" t="n">
        <v>45632</v>
      </c>
      <c r="C933" s="1" t="n">
        <v>46046</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58117-2024</t>
        </is>
      </c>
      <c r="B934" s="1" t="n">
        <v>45632</v>
      </c>
      <c r="C934" s="1" t="n">
        <v>46046</v>
      </c>
      <c r="D934" t="inlineStr">
        <is>
          <t>JÄMTLANDS LÄN</t>
        </is>
      </c>
      <c r="E934" t="inlineStr">
        <is>
          <t>HÄRJEDALEN</t>
        </is>
      </c>
      <c r="G934" t="n">
        <v>0.3</v>
      </c>
      <c r="H934" t="n">
        <v>0</v>
      </c>
      <c r="I934" t="n">
        <v>0</v>
      </c>
      <c r="J934" t="n">
        <v>0</v>
      </c>
      <c r="K934" t="n">
        <v>0</v>
      </c>
      <c r="L934" t="n">
        <v>0</v>
      </c>
      <c r="M934" t="n">
        <v>0</v>
      </c>
      <c r="N934" t="n">
        <v>0</v>
      </c>
      <c r="O934" t="n">
        <v>0</v>
      </c>
      <c r="P934" t="n">
        <v>0</v>
      </c>
      <c r="Q934" t="n">
        <v>0</v>
      </c>
      <c r="R934" s="2" t="inlineStr"/>
    </row>
    <row r="935" ht="15" customHeight="1">
      <c r="A935" t="inlineStr">
        <is>
          <t>A 55115-2024</t>
        </is>
      </c>
      <c r="B935" s="1" t="n">
        <v>45621</v>
      </c>
      <c r="C935" s="1" t="n">
        <v>46046</v>
      </c>
      <c r="D935" t="inlineStr">
        <is>
          <t>JÄMTLANDS LÄN</t>
        </is>
      </c>
      <c r="E935" t="inlineStr">
        <is>
          <t>HÄRJEDALEN</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40569-2023</t>
        </is>
      </c>
      <c r="B936" s="1" t="n">
        <v>45170.4643287037</v>
      </c>
      <c r="C936" s="1" t="n">
        <v>46046</v>
      </c>
      <c r="D936" t="inlineStr">
        <is>
          <t>JÄMTLANDS LÄN</t>
        </is>
      </c>
      <c r="E936" t="inlineStr">
        <is>
          <t>HÄRJEDALEN</t>
        </is>
      </c>
      <c r="F936" t="inlineStr">
        <is>
          <t>Holmen skog AB</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39963-2025</t>
        </is>
      </c>
      <c r="B937" s="1" t="n">
        <v>45892.53184027778</v>
      </c>
      <c r="C937" s="1" t="n">
        <v>46046</v>
      </c>
      <c r="D937" t="inlineStr">
        <is>
          <t>JÄMTLANDS LÄN</t>
        </is>
      </c>
      <c r="E937" t="inlineStr">
        <is>
          <t>HÄRJEDALEN</t>
        </is>
      </c>
      <c r="G937" t="n">
        <v>33.9</v>
      </c>
      <c r="H937" t="n">
        <v>0</v>
      </c>
      <c r="I937" t="n">
        <v>0</v>
      </c>
      <c r="J937" t="n">
        <v>0</v>
      </c>
      <c r="K937" t="n">
        <v>0</v>
      </c>
      <c r="L937" t="n">
        <v>0</v>
      </c>
      <c r="M937" t="n">
        <v>0</v>
      </c>
      <c r="N937" t="n">
        <v>0</v>
      </c>
      <c r="O937" t="n">
        <v>0</v>
      </c>
      <c r="P937" t="n">
        <v>0</v>
      </c>
      <c r="Q937" t="n">
        <v>0</v>
      </c>
      <c r="R937" s="2" t="inlineStr"/>
    </row>
    <row r="938" ht="15" customHeight="1">
      <c r="A938" t="inlineStr">
        <is>
          <t>A 59125-2024</t>
        </is>
      </c>
      <c r="B938" s="1" t="n">
        <v>45637.39587962963</v>
      </c>
      <c r="C938" s="1" t="n">
        <v>46046</v>
      </c>
      <c r="D938" t="inlineStr">
        <is>
          <t>JÄMTLANDS LÄN</t>
        </is>
      </c>
      <c r="E938" t="inlineStr">
        <is>
          <t>HÄRJEDALEN</t>
        </is>
      </c>
      <c r="F938" t="inlineStr">
        <is>
          <t>Bergvik skog väst AB</t>
        </is>
      </c>
      <c r="G938" t="n">
        <v>7.3</v>
      </c>
      <c r="H938" t="n">
        <v>0</v>
      </c>
      <c r="I938" t="n">
        <v>0</v>
      </c>
      <c r="J938" t="n">
        <v>0</v>
      </c>
      <c r="K938" t="n">
        <v>0</v>
      </c>
      <c r="L938" t="n">
        <v>0</v>
      </c>
      <c r="M938" t="n">
        <v>0</v>
      </c>
      <c r="N938" t="n">
        <v>0</v>
      </c>
      <c r="O938" t="n">
        <v>0</v>
      </c>
      <c r="P938" t="n">
        <v>0</v>
      </c>
      <c r="Q938" t="n">
        <v>0</v>
      </c>
      <c r="R938" s="2" t="inlineStr"/>
    </row>
    <row r="939" ht="15" customHeight="1">
      <c r="A939" t="inlineStr">
        <is>
          <t>A 41401-2024</t>
        </is>
      </c>
      <c r="B939" s="1" t="n">
        <v>45560.33311342593</v>
      </c>
      <c r="C939" s="1" t="n">
        <v>46046</v>
      </c>
      <c r="D939" t="inlineStr">
        <is>
          <t>JÄMTLANDS LÄN</t>
        </is>
      </c>
      <c r="E939" t="inlineStr">
        <is>
          <t>HÄRJEDALEN</t>
        </is>
      </c>
      <c r="F939" t="inlineStr">
        <is>
          <t>Bergvik skog väst AB</t>
        </is>
      </c>
      <c r="G939" t="n">
        <v>6.6</v>
      </c>
      <c r="H939" t="n">
        <v>0</v>
      </c>
      <c r="I939" t="n">
        <v>0</v>
      </c>
      <c r="J939" t="n">
        <v>0</v>
      </c>
      <c r="K939" t="n">
        <v>0</v>
      </c>
      <c r="L939" t="n">
        <v>0</v>
      </c>
      <c r="M939" t="n">
        <v>0</v>
      </c>
      <c r="N939" t="n">
        <v>0</v>
      </c>
      <c r="O939" t="n">
        <v>0</v>
      </c>
      <c r="P939" t="n">
        <v>0</v>
      </c>
      <c r="Q939" t="n">
        <v>0</v>
      </c>
      <c r="R939" s="2" t="inlineStr"/>
    </row>
    <row r="940" ht="15" customHeight="1">
      <c r="A940" t="inlineStr">
        <is>
          <t>A 58105-2024</t>
        </is>
      </c>
      <c r="B940" s="1" t="n">
        <v>45632</v>
      </c>
      <c r="C940" s="1" t="n">
        <v>46046</v>
      </c>
      <c r="D940" t="inlineStr">
        <is>
          <t>JÄMTLANDS LÄN</t>
        </is>
      </c>
      <c r="E940" t="inlineStr">
        <is>
          <t>HÄRJEDALEN</t>
        </is>
      </c>
      <c r="G940" t="n">
        <v>0.3</v>
      </c>
      <c r="H940" t="n">
        <v>0</v>
      </c>
      <c r="I940" t="n">
        <v>0</v>
      </c>
      <c r="J940" t="n">
        <v>0</v>
      </c>
      <c r="K940" t="n">
        <v>0</v>
      </c>
      <c r="L940" t="n">
        <v>0</v>
      </c>
      <c r="M940" t="n">
        <v>0</v>
      </c>
      <c r="N940" t="n">
        <v>0</v>
      </c>
      <c r="O940" t="n">
        <v>0</v>
      </c>
      <c r="P940" t="n">
        <v>0</v>
      </c>
      <c r="Q940" t="n">
        <v>0</v>
      </c>
      <c r="R940" s="2" t="inlineStr"/>
    </row>
    <row r="941" ht="15" customHeight="1">
      <c r="A941" t="inlineStr">
        <is>
          <t>A 20206-2022</t>
        </is>
      </c>
      <c r="B941" s="1" t="n">
        <v>44698</v>
      </c>
      <c r="C941" s="1" t="n">
        <v>46046</v>
      </c>
      <c r="D941" t="inlineStr">
        <is>
          <t>JÄMTLANDS LÄN</t>
        </is>
      </c>
      <c r="E941" t="inlineStr">
        <is>
          <t>HÄRJEDALEN</t>
        </is>
      </c>
      <c r="F941" t="inlineStr">
        <is>
          <t>Bergvik skog väst AB</t>
        </is>
      </c>
      <c r="G941" t="n">
        <v>5.8</v>
      </c>
      <c r="H941" t="n">
        <v>0</v>
      </c>
      <c r="I941" t="n">
        <v>0</v>
      </c>
      <c r="J941" t="n">
        <v>0</v>
      </c>
      <c r="K941" t="n">
        <v>0</v>
      </c>
      <c r="L941" t="n">
        <v>0</v>
      </c>
      <c r="M941" t="n">
        <v>0</v>
      </c>
      <c r="N941" t="n">
        <v>0</v>
      </c>
      <c r="O941" t="n">
        <v>0</v>
      </c>
      <c r="P941" t="n">
        <v>0</v>
      </c>
      <c r="Q941" t="n">
        <v>0</v>
      </c>
      <c r="R941" s="2" t="inlineStr"/>
    </row>
    <row r="942" ht="15" customHeight="1">
      <c r="A942" t="inlineStr">
        <is>
          <t>A 40194-2025</t>
        </is>
      </c>
      <c r="B942" s="1" t="n">
        <v>45894.65869212963</v>
      </c>
      <c r="C942" s="1" t="n">
        <v>46046</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51315-2024</t>
        </is>
      </c>
      <c r="B943" s="1" t="n">
        <v>45604.32543981481</v>
      </c>
      <c r="C943" s="1" t="n">
        <v>46046</v>
      </c>
      <c r="D943" t="inlineStr">
        <is>
          <t>JÄMTLANDS LÄN</t>
        </is>
      </c>
      <c r="E943" t="inlineStr">
        <is>
          <t>HÄRJEDALEN</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40185-2025</t>
        </is>
      </c>
      <c r="B944" s="1" t="n">
        <v>45894.64358796296</v>
      </c>
      <c r="C944" s="1" t="n">
        <v>46046</v>
      </c>
      <c r="D944" t="inlineStr">
        <is>
          <t>JÄMTLANDS LÄN</t>
        </is>
      </c>
      <c r="E944" t="inlineStr">
        <is>
          <t>HÄRJEDALEN</t>
        </is>
      </c>
      <c r="F944" t="inlineStr">
        <is>
          <t>Bergvik skog väst AB</t>
        </is>
      </c>
      <c r="G944" t="n">
        <v>30.7</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46046</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57755-2021</t>
        </is>
      </c>
      <c r="B946" s="1" t="n">
        <v>44484.55535879629</v>
      </c>
      <c r="C946" s="1" t="n">
        <v>46046</v>
      </c>
      <c r="D946" t="inlineStr">
        <is>
          <t>JÄMTLANDS LÄN</t>
        </is>
      </c>
      <c r="E946" t="inlineStr">
        <is>
          <t>HÄRJEDALEN</t>
        </is>
      </c>
      <c r="G946" t="n">
        <v>3.9</v>
      </c>
      <c r="H946" t="n">
        <v>0</v>
      </c>
      <c r="I946" t="n">
        <v>0</v>
      </c>
      <c r="J946" t="n">
        <v>0</v>
      </c>
      <c r="K946" t="n">
        <v>0</v>
      </c>
      <c r="L946" t="n">
        <v>0</v>
      </c>
      <c r="M946" t="n">
        <v>0</v>
      </c>
      <c r="N946" t="n">
        <v>0</v>
      </c>
      <c r="O946" t="n">
        <v>0</v>
      </c>
      <c r="P946" t="n">
        <v>0</v>
      </c>
      <c r="Q946" t="n">
        <v>0</v>
      </c>
      <c r="R946" s="2" t="inlineStr"/>
    </row>
    <row r="947" ht="15" customHeight="1">
      <c r="A947" t="inlineStr">
        <is>
          <t>A 55463-2023</t>
        </is>
      </c>
      <c r="B947" s="1" t="n">
        <v>45238.46430555556</v>
      </c>
      <c r="C947" s="1" t="n">
        <v>46046</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40572-2025</t>
        </is>
      </c>
      <c r="B948" s="1" t="n">
        <v>45896.49821759259</v>
      </c>
      <c r="C948" s="1" t="n">
        <v>46046</v>
      </c>
      <c r="D948" t="inlineStr">
        <is>
          <t>JÄMTLANDS LÄN</t>
        </is>
      </c>
      <c r="E948" t="inlineStr">
        <is>
          <t>HÄRJEDALEN</t>
        </is>
      </c>
      <c r="G948" t="n">
        <v>0.4</v>
      </c>
      <c r="H948" t="n">
        <v>0</v>
      </c>
      <c r="I948" t="n">
        <v>0</v>
      </c>
      <c r="J948" t="n">
        <v>0</v>
      </c>
      <c r="K948" t="n">
        <v>0</v>
      </c>
      <c r="L948" t="n">
        <v>0</v>
      </c>
      <c r="M948" t="n">
        <v>0</v>
      </c>
      <c r="N948" t="n">
        <v>0</v>
      </c>
      <c r="O948" t="n">
        <v>0</v>
      </c>
      <c r="P948" t="n">
        <v>0</v>
      </c>
      <c r="Q948" t="n">
        <v>0</v>
      </c>
      <c r="R948" s="2" t="inlineStr"/>
    </row>
    <row r="949" ht="15" customHeight="1">
      <c r="A949" t="inlineStr">
        <is>
          <t>A 40573-2025</t>
        </is>
      </c>
      <c r="B949" s="1" t="n">
        <v>45896.49959490741</v>
      </c>
      <c r="C949" s="1" t="n">
        <v>46046</v>
      </c>
      <c r="D949" t="inlineStr">
        <is>
          <t>JÄMTLANDS LÄN</t>
        </is>
      </c>
      <c r="E949" t="inlineStr">
        <is>
          <t>HÄRJEDALEN</t>
        </is>
      </c>
      <c r="G949" t="n">
        <v>1.6</v>
      </c>
      <c r="H949" t="n">
        <v>0</v>
      </c>
      <c r="I949" t="n">
        <v>0</v>
      </c>
      <c r="J949" t="n">
        <v>0</v>
      </c>
      <c r="K949" t="n">
        <v>0</v>
      </c>
      <c r="L949" t="n">
        <v>0</v>
      </c>
      <c r="M949" t="n">
        <v>0</v>
      </c>
      <c r="N949" t="n">
        <v>0</v>
      </c>
      <c r="O949" t="n">
        <v>0</v>
      </c>
      <c r="P949" t="n">
        <v>0</v>
      </c>
      <c r="Q949" t="n">
        <v>0</v>
      </c>
      <c r="R949" s="2" t="inlineStr"/>
    </row>
    <row r="950" ht="15" customHeight="1">
      <c r="A950" t="inlineStr">
        <is>
          <t>A 5273-2021</t>
        </is>
      </c>
      <c r="B950" s="1" t="n">
        <v>44229</v>
      </c>
      <c r="C950" s="1" t="n">
        <v>46046</v>
      </c>
      <c r="D950" t="inlineStr">
        <is>
          <t>JÄMTLANDS LÄN</t>
        </is>
      </c>
      <c r="E950" t="inlineStr">
        <is>
          <t>HÄRJEDALEN</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5283-2021</t>
        </is>
      </c>
      <c r="B951" s="1" t="n">
        <v>44225</v>
      </c>
      <c r="C951" s="1" t="n">
        <v>46046</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41054-2025</t>
        </is>
      </c>
      <c r="B952" s="1" t="n">
        <v>45898.40481481481</v>
      </c>
      <c r="C952" s="1" t="n">
        <v>46046</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31527-2024</t>
        </is>
      </c>
      <c r="B953" s="1" t="n">
        <v>45505</v>
      </c>
      <c r="C953" s="1" t="n">
        <v>46046</v>
      </c>
      <c r="D953" t="inlineStr">
        <is>
          <t>JÄMTLANDS LÄN</t>
        </is>
      </c>
      <c r="E953" t="inlineStr">
        <is>
          <t>HÄRJEDALEN</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41051-2025</t>
        </is>
      </c>
      <c r="B954" s="1" t="n">
        <v>45898.40267361111</v>
      </c>
      <c r="C954" s="1" t="n">
        <v>46046</v>
      </c>
      <c r="D954" t="inlineStr">
        <is>
          <t>JÄMTLANDS LÄN</t>
        </is>
      </c>
      <c r="E954" t="inlineStr">
        <is>
          <t>HÄRJEDALEN</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41070-2025</t>
        </is>
      </c>
      <c r="B955" s="1" t="n">
        <v>45898.41540509259</v>
      </c>
      <c r="C955" s="1" t="n">
        <v>46046</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59279-2023</t>
        </is>
      </c>
      <c r="B956" s="1" t="n">
        <v>45253.55737268519</v>
      </c>
      <c r="C956" s="1" t="n">
        <v>46046</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41491-2025</t>
        </is>
      </c>
      <c r="B957" s="1" t="n">
        <v>45901.4881712963</v>
      </c>
      <c r="C957" s="1" t="n">
        <v>46046</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29431-2023</t>
        </is>
      </c>
      <c r="B958" s="1" t="n">
        <v>45106</v>
      </c>
      <c r="C958" s="1" t="n">
        <v>46046</v>
      </c>
      <c r="D958" t="inlineStr">
        <is>
          <t>JÄMTLANDS LÄN</t>
        </is>
      </c>
      <c r="E958" t="inlineStr">
        <is>
          <t>HÄRJEDALEN</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35253-2025</t>
        </is>
      </c>
      <c r="B959" s="1" t="n">
        <v>45853</v>
      </c>
      <c r="C959" s="1" t="n">
        <v>46046</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60062-2023</t>
        </is>
      </c>
      <c r="B960" s="1" t="n">
        <v>45257</v>
      </c>
      <c r="C960" s="1" t="n">
        <v>46046</v>
      </c>
      <c r="D960" t="inlineStr">
        <is>
          <t>JÄMTLANDS LÄN</t>
        </is>
      </c>
      <c r="E960" t="inlineStr">
        <is>
          <t>HÄRJEDALEN</t>
        </is>
      </c>
      <c r="G960" t="n">
        <v>1</v>
      </c>
      <c r="H960" t="n">
        <v>0</v>
      </c>
      <c r="I960" t="n">
        <v>0</v>
      </c>
      <c r="J960" t="n">
        <v>0</v>
      </c>
      <c r="K960" t="n">
        <v>0</v>
      </c>
      <c r="L960" t="n">
        <v>0</v>
      </c>
      <c r="M960" t="n">
        <v>0</v>
      </c>
      <c r="N960" t="n">
        <v>0</v>
      </c>
      <c r="O960" t="n">
        <v>0</v>
      </c>
      <c r="P960" t="n">
        <v>0</v>
      </c>
      <c r="Q960" t="n">
        <v>0</v>
      </c>
      <c r="R960" s="2" t="inlineStr"/>
    </row>
    <row r="961" ht="15" customHeight="1">
      <c r="A961" t="inlineStr">
        <is>
          <t>A 41180-2025</t>
        </is>
      </c>
      <c r="B961" s="1" t="n">
        <v>45898.55296296296</v>
      </c>
      <c r="C961" s="1" t="n">
        <v>46046</v>
      </c>
      <c r="D961" t="inlineStr">
        <is>
          <t>JÄMTLANDS LÄN</t>
        </is>
      </c>
      <c r="E961" t="inlineStr">
        <is>
          <t>HÄRJEDALEN</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17885-2025</t>
        </is>
      </c>
      <c r="B962" s="1" t="n">
        <v>45758.66108796297</v>
      </c>
      <c r="C962" s="1" t="n">
        <v>46046</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17895-2025</t>
        </is>
      </c>
      <c r="B963" s="1" t="n">
        <v>45758.69123842593</v>
      </c>
      <c r="C963" s="1" t="n">
        <v>46046</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4837-2025</t>
        </is>
      </c>
      <c r="B964" s="1" t="n">
        <v>45688.67145833333</v>
      </c>
      <c r="C964" s="1" t="n">
        <v>46046</v>
      </c>
      <c r="D964" t="inlineStr">
        <is>
          <t>JÄMTLANDS LÄN</t>
        </is>
      </c>
      <c r="E964" t="inlineStr">
        <is>
          <t>HÄRJEDALEN</t>
        </is>
      </c>
      <c r="F964" t="inlineStr">
        <is>
          <t>SCA</t>
        </is>
      </c>
      <c r="G964" t="n">
        <v>21.9</v>
      </c>
      <c r="H964" t="n">
        <v>0</v>
      </c>
      <c r="I964" t="n">
        <v>0</v>
      </c>
      <c r="J964" t="n">
        <v>0</v>
      </c>
      <c r="K964" t="n">
        <v>0</v>
      </c>
      <c r="L964" t="n">
        <v>0</v>
      </c>
      <c r="M964" t="n">
        <v>0</v>
      </c>
      <c r="N964" t="n">
        <v>0</v>
      </c>
      <c r="O964" t="n">
        <v>0</v>
      </c>
      <c r="P964" t="n">
        <v>0</v>
      </c>
      <c r="Q964" t="n">
        <v>0</v>
      </c>
      <c r="R964" s="2" t="inlineStr"/>
    </row>
    <row r="965" ht="15" customHeight="1">
      <c r="A965" t="inlineStr">
        <is>
          <t>A 16014-2022</t>
        </is>
      </c>
      <c r="B965" s="1" t="n">
        <v>44665</v>
      </c>
      <c r="C965" s="1" t="n">
        <v>46046</v>
      </c>
      <c r="D965" t="inlineStr">
        <is>
          <t>JÄMTLANDS LÄN</t>
        </is>
      </c>
      <c r="E965" t="inlineStr">
        <is>
          <t>HÄRJEDALEN</t>
        </is>
      </c>
      <c r="G965" t="n">
        <v>38.7</v>
      </c>
      <c r="H965" t="n">
        <v>0</v>
      </c>
      <c r="I965" t="n">
        <v>0</v>
      </c>
      <c r="J965" t="n">
        <v>0</v>
      </c>
      <c r="K965" t="n">
        <v>0</v>
      </c>
      <c r="L965" t="n">
        <v>0</v>
      </c>
      <c r="M965" t="n">
        <v>0</v>
      </c>
      <c r="N965" t="n">
        <v>0</v>
      </c>
      <c r="O965" t="n">
        <v>0</v>
      </c>
      <c r="P965" t="n">
        <v>0</v>
      </c>
      <c r="Q965" t="n">
        <v>0</v>
      </c>
      <c r="R965" s="2" t="inlineStr"/>
    </row>
    <row r="966" ht="15" customHeight="1">
      <c r="A966" t="inlineStr">
        <is>
          <t>A 30501-2025</t>
        </is>
      </c>
      <c r="B966" s="1" t="n">
        <v>45830</v>
      </c>
      <c r="C966" s="1" t="n">
        <v>46046</v>
      </c>
      <c r="D966" t="inlineStr">
        <is>
          <t>JÄMTLANDS LÄN</t>
        </is>
      </c>
      <c r="E966" t="inlineStr">
        <is>
          <t>HÄRJEDALEN</t>
        </is>
      </c>
      <c r="G966" t="n">
        <v>17</v>
      </c>
      <c r="H966" t="n">
        <v>0</v>
      </c>
      <c r="I966" t="n">
        <v>0</v>
      </c>
      <c r="J966" t="n">
        <v>0</v>
      </c>
      <c r="K966" t="n">
        <v>0</v>
      </c>
      <c r="L966" t="n">
        <v>0</v>
      </c>
      <c r="M966" t="n">
        <v>0</v>
      </c>
      <c r="N966" t="n">
        <v>0</v>
      </c>
      <c r="O966" t="n">
        <v>0</v>
      </c>
      <c r="P966" t="n">
        <v>0</v>
      </c>
      <c r="Q966" t="n">
        <v>0</v>
      </c>
      <c r="R966" s="2" t="inlineStr"/>
    </row>
    <row r="967" ht="15" customHeight="1">
      <c r="A967" t="inlineStr">
        <is>
          <t>A 30498-2025</t>
        </is>
      </c>
      <c r="B967" s="1" t="n">
        <v>45830</v>
      </c>
      <c r="C967" s="1" t="n">
        <v>46046</v>
      </c>
      <c r="D967" t="inlineStr">
        <is>
          <t>JÄMTLANDS LÄN</t>
        </is>
      </c>
      <c r="E967" t="inlineStr">
        <is>
          <t>HÄRJEDALEN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30500-2025</t>
        </is>
      </c>
      <c r="B968" s="1" t="n">
        <v>45830</v>
      </c>
      <c r="C968" s="1" t="n">
        <v>46046</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41769-2025</t>
        </is>
      </c>
      <c r="B969" s="1" t="n">
        <v>45902.55119212963</v>
      </c>
      <c r="C969" s="1" t="n">
        <v>46046</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50425-2025</t>
        </is>
      </c>
      <c r="B970" s="1" t="n">
        <v>45944.67199074074</v>
      </c>
      <c r="C970" s="1" t="n">
        <v>46046</v>
      </c>
      <c r="D970" t="inlineStr">
        <is>
          <t>JÄMTLANDS LÄN</t>
        </is>
      </c>
      <c r="E970" t="inlineStr">
        <is>
          <t>HÄRJEDALEN</t>
        </is>
      </c>
      <c r="G970" t="n">
        <v>1.8</v>
      </c>
      <c r="H970" t="n">
        <v>0</v>
      </c>
      <c r="I970" t="n">
        <v>0</v>
      </c>
      <c r="J970" t="n">
        <v>0</v>
      </c>
      <c r="K970" t="n">
        <v>0</v>
      </c>
      <c r="L970" t="n">
        <v>0</v>
      </c>
      <c r="M970" t="n">
        <v>0</v>
      </c>
      <c r="N970" t="n">
        <v>0</v>
      </c>
      <c r="O970" t="n">
        <v>0</v>
      </c>
      <c r="P970" t="n">
        <v>0</v>
      </c>
      <c r="Q970" t="n">
        <v>0</v>
      </c>
      <c r="R970" s="2" t="inlineStr"/>
    </row>
    <row r="971" ht="15" customHeight="1">
      <c r="A971" t="inlineStr">
        <is>
          <t>A 42032-2025</t>
        </is>
      </c>
      <c r="B971" s="1" t="n">
        <v>45903.6066087963</v>
      </c>
      <c r="C971" s="1" t="n">
        <v>46046</v>
      </c>
      <c r="D971" t="inlineStr">
        <is>
          <t>JÄMTLANDS LÄN</t>
        </is>
      </c>
      <c r="E971" t="inlineStr">
        <is>
          <t>HÄRJEDALEN</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10342-2023</t>
        </is>
      </c>
      <c r="B972" s="1" t="n">
        <v>44987.35282407407</v>
      </c>
      <c r="C972" s="1" t="n">
        <v>46046</v>
      </c>
      <c r="D972" t="inlineStr">
        <is>
          <t>JÄMTLANDS LÄN</t>
        </is>
      </c>
      <c r="E972" t="inlineStr">
        <is>
          <t>HÄRJEDALEN</t>
        </is>
      </c>
      <c r="F972" t="inlineStr">
        <is>
          <t>Holmen skog AB</t>
        </is>
      </c>
      <c r="G972" t="n">
        <v>32.6</v>
      </c>
      <c r="H972" t="n">
        <v>0</v>
      </c>
      <c r="I972" t="n">
        <v>0</v>
      </c>
      <c r="J972" t="n">
        <v>0</v>
      </c>
      <c r="K972" t="n">
        <v>0</v>
      </c>
      <c r="L972" t="n">
        <v>0</v>
      </c>
      <c r="M972" t="n">
        <v>0</v>
      </c>
      <c r="N972" t="n">
        <v>0</v>
      </c>
      <c r="O972" t="n">
        <v>0</v>
      </c>
      <c r="P972" t="n">
        <v>0</v>
      </c>
      <c r="Q972" t="n">
        <v>0</v>
      </c>
      <c r="R972" s="2" t="inlineStr"/>
    </row>
    <row r="973" ht="15" customHeight="1">
      <c r="A973" t="inlineStr">
        <is>
          <t>A 19100-2025</t>
        </is>
      </c>
      <c r="B973" s="1" t="n">
        <v>45768.29630787037</v>
      </c>
      <c r="C973" s="1" t="n">
        <v>46046</v>
      </c>
      <c r="D973" t="inlineStr">
        <is>
          <t>JÄMTLANDS LÄN</t>
        </is>
      </c>
      <c r="E973" t="inlineStr">
        <is>
          <t>HÄRJEDALEN</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19106-2025</t>
        </is>
      </c>
      <c r="B974" s="1" t="n">
        <v>45768.30954861111</v>
      </c>
      <c r="C974" s="1" t="n">
        <v>46046</v>
      </c>
      <c r="D974" t="inlineStr">
        <is>
          <t>JÄMTLANDS LÄN</t>
        </is>
      </c>
      <c r="E974" t="inlineStr">
        <is>
          <t>HÄRJEDALEN</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30499-2025</t>
        </is>
      </c>
      <c r="B975" s="1" t="n">
        <v>45830</v>
      </c>
      <c r="C975" s="1" t="n">
        <v>46046</v>
      </c>
      <c r="D975" t="inlineStr">
        <is>
          <t>JÄMTLANDS LÄN</t>
        </is>
      </c>
      <c r="E975" t="inlineStr">
        <is>
          <t>HÄRJEDALEN</t>
        </is>
      </c>
      <c r="G975" t="n">
        <v>0.9</v>
      </c>
      <c r="H975" t="n">
        <v>0</v>
      </c>
      <c r="I975" t="n">
        <v>0</v>
      </c>
      <c r="J975" t="n">
        <v>0</v>
      </c>
      <c r="K975" t="n">
        <v>0</v>
      </c>
      <c r="L975" t="n">
        <v>0</v>
      </c>
      <c r="M975" t="n">
        <v>0</v>
      </c>
      <c r="N975" t="n">
        <v>0</v>
      </c>
      <c r="O975" t="n">
        <v>0</v>
      </c>
      <c r="P975" t="n">
        <v>0</v>
      </c>
      <c r="Q975" t="n">
        <v>0</v>
      </c>
      <c r="R975" s="2" t="inlineStr"/>
    </row>
    <row r="976" ht="15" customHeight="1">
      <c r="A976" t="inlineStr">
        <is>
          <t>A 41821-2025</t>
        </is>
      </c>
      <c r="B976" s="1" t="n">
        <v>45902.66265046296</v>
      </c>
      <c r="C976" s="1" t="n">
        <v>46046</v>
      </c>
      <c r="D976" t="inlineStr">
        <is>
          <t>JÄMTLANDS LÄN</t>
        </is>
      </c>
      <c r="E976" t="inlineStr">
        <is>
          <t>HÄRJEDALEN</t>
        </is>
      </c>
      <c r="F976" t="inlineStr">
        <is>
          <t>Holmen skog AB</t>
        </is>
      </c>
      <c r="G976" t="n">
        <v>30</v>
      </c>
      <c r="H976" t="n">
        <v>0</v>
      </c>
      <c r="I976" t="n">
        <v>0</v>
      </c>
      <c r="J976" t="n">
        <v>0</v>
      </c>
      <c r="K976" t="n">
        <v>0</v>
      </c>
      <c r="L976" t="n">
        <v>0</v>
      </c>
      <c r="M976" t="n">
        <v>0</v>
      </c>
      <c r="N976" t="n">
        <v>0</v>
      </c>
      <c r="O976" t="n">
        <v>0</v>
      </c>
      <c r="P976" t="n">
        <v>0</v>
      </c>
      <c r="Q976" t="n">
        <v>0</v>
      </c>
      <c r="R976" s="2" t="inlineStr"/>
    </row>
    <row r="977" ht="15" customHeight="1">
      <c r="A977" t="inlineStr">
        <is>
          <t>A 42031-2025</t>
        </is>
      </c>
      <c r="B977" s="1" t="n">
        <v>45903.60319444445</v>
      </c>
      <c r="C977" s="1" t="n">
        <v>46046</v>
      </c>
      <c r="D977" t="inlineStr">
        <is>
          <t>JÄMTLANDS LÄN</t>
        </is>
      </c>
      <c r="E977" t="inlineStr">
        <is>
          <t>HÄRJEDALEN</t>
        </is>
      </c>
      <c r="F977" t="inlineStr">
        <is>
          <t>Holmen skog AB</t>
        </is>
      </c>
      <c r="G977" t="n">
        <v>8.6</v>
      </c>
      <c r="H977" t="n">
        <v>0</v>
      </c>
      <c r="I977" t="n">
        <v>0</v>
      </c>
      <c r="J977" t="n">
        <v>0</v>
      </c>
      <c r="K977" t="n">
        <v>0</v>
      </c>
      <c r="L977" t="n">
        <v>0</v>
      </c>
      <c r="M977" t="n">
        <v>0</v>
      </c>
      <c r="N977" t="n">
        <v>0</v>
      </c>
      <c r="O977" t="n">
        <v>0</v>
      </c>
      <c r="P977" t="n">
        <v>0</v>
      </c>
      <c r="Q977" t="n">
        <v>0</v>
      </c>
      <c r="R977" s="2" t="inlineStr"/>
    </row>
    <row r="978" ht="15" customHeight="1">
      <c r="A978" t="inlineStr">
        <is>
          <t>A 41788-2025</t>
        </is>
      </c>
      <c r="B978" s="1" t="n">
        <v>45902.59438657408</v>
      </c>
      <c r="C978" s="1" t="n">
        <v>46046</v>
      </c>
      <c r="D978" t="inlineStr">
        <is>
          <t>JÄMTLANDS LÄN</t>
        </is>
      </c>
      <c r="E978" t="inlineStr">
        <is>
          <t>HÄRJEDALEN</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41664-2025</t>
        </is>
      </c>
      <c r="B979" s="1" t="n">
        <v>45902.35612268518</v>
      </c>
      <c r="C979" s="1" t="n">
        <v>46046</v>
      </c>
      <c r="D979" t="inlineStr">
        <is>
          <t>JÄMTLANDS LÄN</t>
        </is>
      </c>
      <c r="E979" t="inlineStr">
        <is>
          <t>HÄRJEDALEN</t>
        </is>
      </c>
      <c r="F979" t="inlineStr">
        <is>
          <t>Holmen skog AB</t>
        </is>
      </c>
      <c r="G979" t="n">
        <v>18.7</v>
      </c>
      <c r="H979" t="n">
        <v>0</v>
      </c>
      <c r="I979" t="n">
        <v>0</v>
      </c>
      <c r="J979" t="n">
        <v>0</v>
      </c>
      <c r="K979" t="n">
        <v>0</v>
      </c>
      <c r="L979" t="n">
        <v>0</v>
      </c>
      <c r="M979" t="n">
        <v>0</v>
      </c>
      <c r="N979" t="n">
        <v>0</v>
      </c>
      <c r="O979" t="n">
        <v>0</v>
      </c>
      <c r="P979" t="n">
        <v>0</v>
      </c>
      <c r="Q979" t="n">
        <v>0</v>
      </c>
      <c r="R979" s="2" t="inlineStr"/>
    </row>
    <row r="980" ht="15" customHeight="1">
      <c r="A980" t="inlineStr">
        <is>
          <t>A 19955-2021</t>
        </is>
      </c>
      <c r="B980" s="1" t="n">
        <v>44312</v>
      </c>
      <c r="C980" s="1" t="n">
        <v>46046</v>
      </c>
      <c r="D980" t="inlineStr">
        <is>
          <t>JÄMTLANDS LÄN</t>
        </is>
      </c>
      <c r="E980" t="inlineStr">
        <is>
          <t>HÄRJEDALEN</t>
        </is>
      </c>
      <c r="G980" t="n">
        <v>4.6</v>
      </c>
      <c r="H980" t="n">
        <v>0</v>
      </c>
      <c r="I980" t="n">
        <v>0</v>
      </c>
      <c r="J980" t="n">
        <v>0</v>
      </c>
      <c r="K980" t="n">
        <v>0</v>
      </c>
      <c r="L980" t="n">
        <v>0</v>
      </c>
      <c r="M980" t="n">
        <v>0</v>
      </c>
      <c r="N980" t="n">
        <v>0</v>
      </c>
      <c r="O980" t="n">
        <v>0</v>
      </c>
      <c r="P980" t="n">
        <v>0</v>
      </c>
      <c r="Q980" t="n">
        <v>0</v>
      </c>
      <c r="R980" s="2" t="inlineStr"/>
    </row>
    <row r="981" ht="15" customHeight="1">
      <c r="A981" t="inlineStr">
        <is>
          <t>A 42504-2025</t>
        </is>
      </c>
      <c r="B981" s="1" t="n">
        <v>45904</v>
      </c>
      <c r="C981" s="1" t="n">
        <v>46046</v>
      </c>
      <c r="D981" t="inlineStr">
        <is>
          <t>JÄMTLANDS LÄN</t>
        </is>
      </c>
      <c r="E981" t="inlineStr">
        <is>
          <t>HÄRJEDALEN</t>
        </is>
      </c>
      <c r="F981" t="inlineStr">
        <is>
          <t>Bergvik skog väst AB</t>
        </is>
      </c>
      <c r="G981" t="n">
        <v>6.4</v>
      </c>
      <c r="H981" t="n">
        <v>0</v>
      </c>
      <c r="I981" t="n">
        <v>0</v>
      </c>
      <c r="J981" t="n">
        <v>0</v>
      </c>
      <c r="K981" t="n">
        <v>0</v>
      </c>
      <c r="L981" t="n">
        <v>0</v>
      </c>
      <c r="M981" t="n">
        <v>0</v>
      </c>
      <c r="N981" t="n">
        <v>0</v>
      </c>
      <c r="O981" t="n">
        <v>0</v>
      </c>
      <c r="P981" t="n">
        <v>0</v>
      </c>
      <c r="Q981" t="n">
        <v>0</v>
      </c>
      <c r="R981" s="2" t="inlineStr"/>
    </row>
    <row r="982" ht="15" customHeight="1">
      <c r="A982" t="inlineStr">
        <is>
          <t>A 42605-2025</t>
        </is>
      </c>
      <c r="B982" s="1" t="n">
        <v>45905.67454861111</v>
      </c>
      <c r="C982" s="1" t="n">
        <v>46046</v>
      </c>
      <c r="D982" t="inlineStr">
        <is>
          <t>JÄMTLANDS LÄN</t>
        </is>
      </c>
      <c r="E982" t="inlineStr">
        <is>
          <t>HÄRJEDALEN</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42163-2025</t>
        </is>
      </c>
      <c r="B983" s="1" t="n">
        <v>45904.41844907407</v>
      </c>
      <c r="C983" s="1" t="n">
        <v>46046</v>
      </c>
      <c r="D983" t="inlineStr">
        <is>
          <t>JÄMTLANDS LÄN</t>
        </is>
      </c>
      <c r="E983" t="inlineStr">
        <is>
          <t>HÄRJEDALEN</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16304-2025</t>
        </is>
      </c>
      <c r="B984" s="1" t="n">
        <v>45751.34636574074</v>
      </c>
      <c r="C984" s="1" t="n">
        <v>46046</v>
      </c>
      <c r="D984" t="inlineStr">
        <is>
          <t>JÄMTLANDS LÄN</t>
        </is>
      </c>
      <c r="E984" t="inlineStr">
        <is>
          <t>HÄRJEDALEN</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42189-2025</t>
        </is>
      </c>
      <c r="B985" s="1" t="n">
        <v>45904.47059027778</v>
      </c>
      <c r="C985" s="1" t="n">
        <v>46046</v>
      </c>
      <c r="D985" t="inlineStr">
        <is>
          <t>JÄMTLANDS LÄN</t>
        </is>
      </c>
      <c r="E985" t="inlineStr">
        <is>
          <t>HÄRJEDALEN</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42271-2025</t>
        </is>
      </c>
      <c r="B986" s="1" t="n">
        <v>45904.60483796296</v>
      </c>
      <c r="C986" s="1" t="n">
        <v>46046</v>
      </c>
      <c r="D986" t="inlineStr">
        <is>
          <t>JÄMTLANDS LÄN</t>
        </is>
      </c>
      <c r="E986" t="inlineStr">
        <is>
          <t>HÄRJEDALEN</t>
        </is>
      </c>
      <c r="F986" t="inlineStr">
        <is>
          <t>Holmen skog AB</t>
        </is>
      </c>
      <c r="G986" t="n">
        <v>3.3</v>
      </c>
      <c r="H986" t="n">
        <v>0</v>
      </c>
      <c r="I986" t="n">
        <v>0</v>
      </c>
      <c r="J986" t="n">
        <v>0</v>
      </c>
      <c r="K986" t="n">
        <v>0</v>
      </c>
      <c r="L986" t="n">
        <v>0</v>
      </c>
      <c r="M986" t="n">
        <v>0</v>
      </c>
      <c r="N986" t="n">
        <v>0</v>
      </c>
      <c r="O986" t="n">
        <v>0</v>
      </c>
      <c r="P986" t="n">
        <v>0</v>
      </c>
      <c r="Q986" t="n">
        <v>0</v>
      </c>
      <c r="R986" s="2" t="inlineStr"/>
    </row>
    <row r="987" ht="15" customHeight="1">
      <c r="A987" t="inlineStr">
        <is>
          <t>A 42745-2025</t>
        </is>
      </c>
      <c r="B987" s="1" t="n">
        <v>45908.43237268519</v>
      </c>
      <c r="C987" s="1" t="n">
        <v>46046</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42773-2025</t>
        </is>
      </c>
      <c r="B988" s="1" t="n">
        <v>45908.48638888889</v>
      </c>
      <c r="C988" s="1" t="n">
        <v>46046</v>
      </c>
      <c r="D988" t="inlineStr">
        <is>
          <t>JÄMTLANDS LÄN</t>
        </is>
      </c>
      <c r="E988" t="inlineStr">
        <is>
          <t>HÄRJEDALEN</t>
        </is>
      </c>
      <c r="F988" t="inlineStr">
        <is>
          <t>Holmen skog AB</t>
        </is>
      </c>
      <c r="G988" t="n">
        <v>13.2</v>
      </c>
      <c r="H988" t="n">
        <v>0</v>
      </c>
      <c r="I988" t="n">
        <v>0</v>
      </c>
      <c r="J988" t="n">
        <v>0</v>
      </c>
      <c r="K988" t="n">
        <v>0</v>
      </c>
      <c r="L988" t="n">
        <v>0</v>
      </c>
      <c r="M988" t="n">
        <v>0</v>
      </c>
      <c r="N988" t="n">
        <v>0</v>
      </c>
      <c r="O988" t="n">
        <v>0</v>
      </c>
      <c r="P988" t="n">
        <v>0</v>
      </c>
      <c r="Q988" t="n">
        <v>0</v>
      </c>
      <c r="R988" s="2" t="inlineStr"/>
      <c r="U988">
        <f>HYPERLINK("https://klasma.github.io/Logging_2361/knärot/A 42773-2025 karta knärot.png", "A 42773-2025")</f>
        <v/>
      </c>
      <c r="V988">
        <f>HYPERLINK("https://klasma.github.io/Logging_2361/klagomål/A 42773-2025 FSC-klagomål.docx", "A 42773-2025")</f>
        <v/>
      </c>
      <c r="W988">
        <f>HYPERLINK("https://klasma.github.io/Logging_2361/klagomålsmail/A 42773-2025 FSC-klagomål mail.docx", "A 42773-2025")</f>
        <v/>
      </c>
      <c r="X988">
        <f>HYPERLINK("https://klasma.github.io/Logging_2361/tillsyn/A 42773-2025 tillsynsbegäran.docx", "A 42773-2025")</f>
        <v/>
      </c>
      <c r="Y988">
        <f>HYPERLINK("https://klasma.github.io/Logging_2361/tillsynsmail/A 42773-2025 tillsynsbegäran mail.docx", "A 42773-2025")</f>
        <v/>
      </c>
    </row>
    <row r="989" ht="15" customHeight="1">
      <c r="A989" t="inlineStr">
        <is>
          <t>A 42816-2025</t>
        </is>
      </c>
      <c r="B989" s="1" t="n">
        <v>45908.56461805556</v>
      </c>
      <c r="C989" s="1" t="n">
        <v>46046</v>
      </c>
      <c r="D989" t="inlineStr">
        <is>
          <t>JÄMTLANDS LÄN</t>
        </is>
      </c>
      <c r="E989" t="inlineStr">
        <is>
          <t>HÄRJEDALEN</t>
        </is>
      </c>
      <c r="G989" t="n">
        <v>2.3</v>
      </c>
      <c r="H989" t="n">
        <v>0</v>
      </c>
      <c r="I989" t="n">
        <v>0</v>
      </c>
      <c r="J989" t="n">
        <v>0</v>
      </c>
      <c r="K989" t="n">
        <v>0</v>
      </c>
      <c r="L989" t="n">
        <v>0</v>
      </c>
      <c r="M989" t="n">
        <v>0</v>
      </c>
      <c r="N989" t="n">
        <v>0</v>
      </c>
      <c r="O989" t="n">
        <v>0</v>
      </c>
      <c r="P989" t="n">
        <v>0</v>
      </c>
      <c r="Q989" t="n">
        <v>0</v>
      </c>
      <c r="R989" s="2" t="inlineStr"/>
    </row>
    <row r="990" ht="15" customHeight="1">
      <c r="A990" t="inlineStr">
        <is>
          <t>A 42815-2025</t>
        </is>
      </c>
      <c r="B990" s="1" t="n">
        <v>45908.56354166667</v>
      </c>
      <c r="C990" s="1" t="n">
        <v>46046</v>
      </c>
      <c r="D990" t="inlineStr">
        <is>
          <t>JÄMTLANDS LÄN</t>
        </is>
      </c>
      <c r="E990" t="inlineStr">
        <is>
          <t>HÄRJEDALEN</t>
        </is>
      </c>
      <c r="G990" t="n">
        <v>2.7</v>
      </c>
      <c r="H990" t="n">
        <v>0</v>
      </c>
      <c r="I990" t="n">
        <v>0</v>
      </c>
      <c r="J990" t="n">
        <v>0</v>
      </c>
      <c r="K990" t="n">
        <v>0</v>
      </c>
      <c r="L990" t="n">
        <v>0</v>
      </c>
      <c r="M990" t="n">
        <v>0</v>
      </c>
      <c r="N990" t="n">
        <v>0</v>
      </c>
      <c r="O990" t="n">
        <v>0</v>
      </c>
      <c r="P990" t="n">
        <v>0</v>
      </c>
      <c r="Q990" t="n">
        <v>0</v>
      </c>
      <c r="R990" s="2" t="inlineStr"/>
    </row>
    <row r="991" ht="15" customHeight="1">
      <c r="A991" t="inlineStr">
        <is>
          <t>A 12569-2025</t>
        </is>
      </c>
      <c r="B991" s="1" t="n">
        <v>45731.69629629629</v>
      </c>
      <c r="C991" s="1" t="n">
        <v>46046</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53002-2024</t>
        </is>
      </c>
      <c r="B992" s="1" t="n">
        <v>45611.38759259259</v>
      </c>
      <c r="C992" s="1" t="n">
        <v>46046</v>
      </c>
      <c r="D992" t="inlineStr">
        <is>
          <t>JÄMTLANDS LÄN</t>
        </is>
      </c>
      <c r="E992" t="inlineStr">
        <is>
          <t>HÄRJEDALEN</t>
        </is>
      </c>
      <c r="G992" t="n">
        <v>7.7</v>
      </c>
      <c r="H992" t="n">
        <v>0</v>
      </c>
      <c r="I992" t="n">
        <v>0</v>
      </c>
      <c r="J992" t="n">
        <v>0</v>
      </c>
      <c r="K992" t="n">
        <v>0</v>
      </c>
      <c r="L992" t="n">
        <v>0</v>
      </c>
      <c r="M992" t="n">
        <v>0</v>
      </c>
      <c r="N992" t="n">
        <v>0</v>
      </c>
      <c r="O992" t="n">
        <v>0</v>
      </c>
      <c r="P992" t="n">
        <v>0</v>
      </c>
      <c r="Q992" t="n">
        <v>0</v>
      </c>
      <c r="R992" s="2" t="inlineStr"/>
    </row>
    <row r="993" ht="15" customHeight="1">
      <c r="A993" t="inlineStr">
        <is>
          <t>A 18542-2025</t>
        </is>
      </c>
      <c r="B993" s="1" t="n">
        <v>45763.4178587963</v>
      </c>
      <c r="C993" s="1" t="n">
        <v>46046</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42943-2025</t>
        </is>
      </c>
      <c r="B994" s="1" t="n">
        <v>45909</v>
      </c>
      <c r="C994" s="1" t="n">
        <v>46046</v>
      </c>
      <c r="D994" t="inlineStr">
        <is>
          <t>JÄMTLANDS LÄN</t>
        </is>
      </c>
      <c r="E994" t="inlineStr">
        <is>
          <t>HÄRJEDALEN</t>
        </is>
      </c>
      <c r="F994" t="inlineStr">
        <is>
          <t>Bergvik skog väst AB</t>
        </is>
      </c>
      <c r="G994" t="n">
        <v>10.4</v>
      </c>
      <c r="H994" t="n">
        <v>0</v>
      </c>
      <c r="I994" t="n">
        <v>0</v>
      </c>
      <c r="J994" t="n">
        <v>0</v>
      </c>
      <c r="K994" t="n">
        <v>0</v>
      </c>
      <c r="L994" t="n">
        <v>0</v>
      </c>
      <c r="M994" t="n">
        <v>0</v>
      </c>
      <c r="N994" t="n">
        <v>0</v>
      </c>
      <c r="O994" t="n">
        <v>0</v>
      </c>
      <c r="P994" t="n">
        <v>0</v>
      </c>
      <c r="Q994" t="n">
        <v>0</v>
      </c>
      <c r="R994" s="2" t="inlineStr"/>
    </row>
    <row r="995" ht="15" customHeight="1">
      <c r="A995" t="inlineStr">
        <is>
          <t>A 31783-2024</t>
        </is>
      </c>
      <c r="B995" s="1" t="n">
        <v>45509</v>
      </c>
      <c r="C995" s="1" t="n">
        <v>46046</v>
      </c>
      <c r="D995" t="inlineStr">
        <is>
          <t>JÄMTLANDS LÄN</t>
        </is>
      </c>
      <c r="E995" t="inlineStr">
        <is>
          <t>HÄRJEDALEN</t>
        </is>
      </c>
      <c r="F995" t="inlineStr">
        <is>
          <t>Övriga statliga verk och myndigheter</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28906-2025</t>
        </is>
      </c>
      <c r="B996" s="1" t="n">
        <v>45820.64821759259</v>
      </c>
      <c r="C996" s="1" t="n">
        <v>46046</v>
      </c>
      <c r="D996" t="inlineStr">
        <is>
          <t>JÄMTLANDS LÄN</t>
        </is>
      </c>
      <c r="E996" t="inlineStr">
        <is>
          <t>HÄRJEDALEN</t>
        </is>
      </c>
      <c r="G996" t="n">
        <v>29.4</v>
      </c>
      <c r="H996" t="n">
        <v>0</v>
      </c>
      <c r="I996" t="n">
        <v>0</v>
      </c>
      <c r="J996" t="n">
        <v>0</v>
      </c>
      <c r="K996" t="n">
        <v>0</v>
      </c>
      <c r="L996" t="n">
        <v>0</v>
      </c>
      <c r="M996" t="n">
        <v>0</v>
      </c>
      <c r="N996" t="n">
        <v>0</v>
      </c>
      <c r="O996" t="n">
        <v>0</v>
      </c>
      <c r="P996" t="n">
        <v>0</v>
      </c>
      <c r="Q996" t="n">
        <v>0</v>
      </c>
      <c r="R996" s="2" t="inlineStr"/>
    </row>
    <row r="997" ht="15" customHeight="1">
      <c r="A997" t="inlineStr">
        <is>
          <t>A 42729-2025</t>
        </is>
      </c>
      <c r="B997" s="1" t="n">
        <v>45908.40557870371</v>
      </c>
      <c r="C997" s="1" t="n">
        <v>46046</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42963-2025</t>
        </is>
      </c>
      <c r="B998" s="1" t="n">
        <v>45909.37046296296</v>
      </c>
      <c r="C998" s="1" t="n">
        <v>46046</v>
      </c>
      <c r="D998" t="inlineStr">
        <is>
          <t>JÄMTLANDS LÄN</t>
        </is>
      </c>
      <c r="E998" t="inlineStr">
        <is>
          <t>HÄRJEDALEN</t>
        </is>
      </c>
      <c r="G998" t="n">
        <v>4.3</v>
      </c>
      <c r="H998" t="n">
        <v>0</v>
      </c>
      <c r="I998" t="n">
        <v>0</v>
      </c>
      <c r="J998" t="n">
        <v>0</v>
      </c>
      <c r="K998" t="n">
        <v>0</v>
      </c>
      <c r="L998" t="n">
        <v>0</v>
      </c>
      <c r="M998" t="n">
        <v>0</v>
      </c>
      <c r="N998" t="n">
        <v>0</v>
      </c>
      <c r="O998" t="n">
        <v>0</v>
      </c>
      <c r="P998" t="n">
        <v>0</v>
      </c>
      <c r="Q998" t="n">
        <v>0</v>
      </c>
      <c r="R998" s="2" t="inlineStr"/>
    </row>
    <row r="999" ht="15" customHeight="1">
      <c r="A999" t="inlineStr">
        <is>
          <t>A 42805-2025</t>
        </is>
      </c>
      <c r="B999" s="1" t="n">
        <v>45908.54806712963</v>
      </c>
      <c r="C999" s="1" t="n">
        <v>46046</v>
      </c>
      <c r="D999" t="inlineStr">
        <is>
          <t>JÄMTLANDS LÄN</t>
        </is>
      </c>
      <c r="E999" t="inlineStr">
        <is>
          <t>HÄRJEDALEN</t>
        </is>
      </c>
      <c r="G999" t="n">
        <v>9.9</v>
      </c>
      <c r="H999" t="n">
        <v>0</v>
      </c>
      <c r="I999" t="n">
        <v>0</v>
      </c>
      <c r="J999" t="n">
        <v>0</v>
      </c>
      <c r="K999" t="n">
        <v>0</v>
      </c>
      <c r="L999" t="n">
        <v>0</v>
      </c>
      <c r="M999" t="n">
        <v>0</v>
      </c>
      <c r="N999" t="n">
        <v>0</v>
      </c>
      <c r="O999" t="n">
        <v>0</v>
      </c>
      <c r="P999" t="n">
        <v>0</v>
      </c>
      <c r="Q999" t="n">
        <v>0</v>
      </c>
      <c r="R999" s="2" t="inlineStr"/>
    </row>
    <row r="1000" ht="15" customHeight="1">
      <c r="A1000" t="inlineStr">
        <is>
          <t>A 41955-2023</t>
        </is>
      </c>
      <c r="B1000" s="1" t="n">
        <v>45174</v>
      </c>
      <c r="C1000" s="1" t="n">
        <v>46046</v>
      </c>
      <c r="D1000" t="inlineStr">
        <is>
          <t>JÄMTLANDS LÄN</t>
        </is>
      </c>
      <c r="E1000" t="inlineStr">
        <is>
          <t>HÄRJEDALEN</t>
        </is>
      </c>
      <c r="G1000" t="n">
        <v>60.5</v>
      </c>
      <c r="H1000" t="n">
        <v>0</v>
      </c>
      <c r="I1000" t="n">
        <v>0</v>
      </c>
      <c r="J1000" t="n">
        <v>0</v>
      </c>
      <c r="K1000" t="n">
        <v>0</v>
      </c>
      <c r="L1000" t="n">
        <v>0</v>
      </c>
      <c r="M1000" t="n">
        <v>0</v>
      </c>
      <c r="N1000" t="n">
        <v>0</v>
      </c>
      <c r="O1000" t="n">
        <v>0</v>
      </c>
      <c r="P1000" t="n">
        <v>0</v>
      </c>
      <c r="Q1000" t="n">
        <v>0</v>
      </c>
      <c r="R1000" s="2" t="inlineStr"/>
    </row>
    <row r="1001" ht="15" customHeight="1">
      <c r="A1001" t="inlineStr">
        <is>
          <t>A 43597-2025</t>
        </is>
      </c>
      <c r="B1001" s="1" t="n">
        <v>45911.66243055555</v>
      </c>
      <c r="C1001" s="1" t="n">
        <v>46046</v>
      </c>
      <c r="D1001" t="inlineStr">
        <is>
          <t>JÄMTLANDS LÄN</t>
        </is>
      </c>
      <c r="E1001" t="inlineStr">
        <is>
          <t>HÄRJEDALEN</t>
        </is>
      </c>
      <c r="F1001" t="inlineStr">
        <is>
          <t>Bergvik skog väst AB</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43517-2025</t>
        </is>
      </c>
      <c r="B1002" s="1" t="n">
        <v>45911.5727662037</v>
      </c>
      <c r="C1002" s="1" t="n">
        <v>46046</v>
      </c>
      <c r="D1002" t="inlineStr">
        <is>
          <t>JÄMTLANDS LÄN</t>
        </is>
      </c>
      <c r="E1002" t="inlineStr">
        <is>
          <t>HÄRJEDALEN</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43136-2025</t>
        </is>
      </c>
      <c r="B1003" s="1" t="n">
        <v>45909.85402777778</v>
      </c>
      <c r="C1003" s="1" t="n">
        <v>46046</v>
      </c>
      <c r="D1003" t="inlineStr">
        <is>
          <t>JÄMTLANDS LÄN</t>
        </is>
      </c>
      <c r="E1003" t="inlineStr">
        <is>
          <t>HÄRJEDALEN</t>
        </is>
      </c>
      <c r="F1003" t="inlineStr">
        <is>
          <t>Övriga statliga verk och myndigheter</t>
        </is>
      </c>
      <c r="G1003" t="n">
        <v>34.2</v>
      </c>
      <c r="H1003" t="n">
        <v>0</v>
      </c>
      <c r="I1003" t="n">
        <v>0</v>
      </c>
      <c r="J1003" t="n">
        <v>0</v>
      </c>
      <c r="K1003" t="n">
        <v>0</v>
      </c>
      <c r="L1003" t="n">
        <v>0</v>
      </c>
      <c r="M1003" t="n">
        <v>0</v>
      </c>
      <c r="N1003" t="n">
        <v>0</v>
      </c>
      <c r="O1003" t="n">
        <v>0</v>
      </c>
      <c r="P1003" t="n">
        <v>0</v>
      </c>
      <c r="Q1003" t="n">
        <v>0</v>
      </c>
      <c r="R1003" s="2" t="inlineStr"/>
    </row>
    <row r="1004" ht="15" customHeight="1">
      <c r="A1004" t="inlineStr">
        <is>
          <t>A 43382-2025</t>
        </is>
      </c>
      <c r="B1004" s="1" t="n">
        <v>45911</v>
      </c>
      <c r="C1004" s="1" t="n">
        <v>46046</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58106-2024</t>
        </is>
      </c>
      <c r="B1005" s="1" t="n">
        <v>45632</v>
      </c>
      <c r="C1005" s="1" t="n">
        <v>46046</v>
      </c>
      <c r="D1005" t="inlineStr">
        <is>
          <t>JÄMTLANDS LÄN</t>
        </is>
      </c>
      <c r="E1005" t="inlineStr">
        <is>
          <t>HÄRJEDALEN</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43323-2025</t>
        </is>
      </c>
      <c r="B1006" s="1" t="n">
        <v>45910.66498842592</v>
      </c>
      <c r="C1006" s="1" t="n">
        <v>46046</v>
      </c>
      <c r="D1006" t="inlineStr">
        <is>
          <t>JÄMTLANDS LÄN</t>
        </is>
      </c>
      <c r="E1006" t="inlineStr">
        <is>
          <t>HÄRJEDALEN</t>
        </is>
      </c>
      <c r="F1006" t="inlineStr">
        <is>
          <t>Sveaskog</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43470-2025</t>
        </is>
      </c>
      <c r="B1007" s="1" t="n">
        <v>45911.48010416667</v>
      </c>
      <c r="C1007" s="1" t="n">
        <v>46046</v>
      </c>
      <c r="D1007" t="inlineStr">
        <is>
          <t>JÄMTLANDS LÄN</t>
        </is>
      </c>
      <c r="E1007" t="inlineStr">
        <is>
          <t>HÄRJEDALEN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10536-2021</t>
        </is>
      </c>
      <c r="B1008" s="1" t="n">
        <v>44258</v>
      </c>
      <c r="C1008" s="1" t="n">
        <v>46046</v>
      </c>
      <c r="D1008" t="inlineStr">
        <is>
          <t>JÄMTLANDS LÄN</t>
        </is>
      </c>
      <c r="E1008" t="inlineStr">
        <is>
          <t>HÄRJEDALEN</t>
        </is>
      </c>
      <c r="G1008" t="n">
        <v>18.7</v>
      </c>
      <c r="H1008" t="n">
        <v>0</v>
      </c>
      <c r="I1008" t="n">
        <v>0</v>
      </c>
      <c r="J1008" t="n">
        <v>0</v>
      </c>
      <c r="K1008" t="n">
        <v>0</v>
      </c>
      <c r="L1008" t="n">
        <v>0</v>
      </c>
      <c r="M1008" t="n">
        <v>0</v>
      </c>
      <c r="N1008" t="n">
        <v>0</v>
      </c>
      <c r="O1008" t="n">
        <v>0</v>
      </c>
      <c r="P1008" t="n">
        <v>0</v>
      </c>
      <c r="Q1008" t="n">
        <v>0</v>
      </c>
      <c r="R1008" s="2" t="inlineStr"/>
    </row>
    <row r="1009" ht="15" customHeight="1">
      <c r="A1009" t="inlineStr">
        <is>
          <t>A 43740-2025</t>
        </is>
      </c>
      <c r="B1009" s="1" t="n">
        <v>45912.45496527778</v>
      </c>
      <c r="C1009" s="1" t="n">
        <v>46046</v>
      </c>
      <c r="D1009" t="inlineStr">
        <is>
          <t>JÄMTLANDS LÄN</t>
        </is>
      </c>
      <c r="E1009" t="inlineStr">
        <is>
          <t>HÄRJEDALEN</t>
        </is>
      </c>
      <c r="F1009" t="inlineStr">
        <is>
          <t>Bergvik skog väst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4220-2025</t>
        </is>
      </c>
      <c r="B1010" s="1" t="n">
        <v>45685</v>
      </c>
      <c r="C1010" s="1" t="n">
        <v>46046</v>
      </c>
      <c r="D1010" t="inlineStr">
        <is>
          <t>JÄMTLANDS LÄN</t>
        </is>
      </c>
      <c r="E1010" t="inlineStr">
        <is>
          <t>HÄRJEDALEN</t>
        </is>
      </c>
      <c r="F1010" t="inlineStr">
        <is>
          <t>Bergvik skog väst AB</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62639-2022</t>
        </is>
      </c>
      <c r="B1011" s="1" t="n">
        <v>44925</v>
      </c>
      <c r="C1011" s="1" t="n">
        <v>46046</v>
      </c>
      <c r="D1011" t="inlineStr">
        <is>
          <t>JÄMTLANDS LÄN</t>
        </is>
      </c>
      <c r="E1011" t="inlineStr">
        <is>
          <t>HÄRJEDALEN</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56054-2024</t>
        </is>
      </c>
      <c r="B1012" s="1" t="n">
        <v>45624.36090277778</v>
      </c>
      <c r="C1012" s="1" t="n">
        <v>46046</v>
      </c>
      <c r="D1012" t="inlineStr">
        <is>
          <t>JÄMTLANDS LÄN</t>
        </is>
      </c>
      <c r="E1012" t="inlineStr">
        <is>
          <t>HÄRJEDALEN</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12677-2025</t>
        </is>
      </c>
      <c r="B1013" s="1" t="n">
        <v>45733.43663194445</v>
      </c>
      <c r="C1013" s="1" t="n">
        <v>46046</v>
      </c>
      <c r="D1013" t="inlineStr">
        <is>
          <t>JÄMTLANDS LÄN</t>
        </is>
      </c>
      <c r="E1013" t="inlineStr">
        <is>
          <t>HÄRJEDALEN</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62719-2022</t>
        </is>
      </c>
      <c r="B1014" s="1" t="n">
        <v>44925</v>
      </c>
      <c r="C1014" s="1" t="n">
        <v>46046</v>
      </c>
      <c r="D1014" t="inlineStr">
        <is>
          <t>JÄMTLANDS LÄN</t>
        </is>
      </c>
      <c r="E1014" t="inlineStr">
        <is>
          <t>HÄRJEDALEN</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49319-2024</t>
        </is>
      </c>
      <c r="B1015" s="1" t="n">
        <v>45595.5666550926</v>
      </c>
      <c r="C1015" s="1" t="n">
        <v>46046</v>
      </c>
      <c r="D1015" t="inlineStr">
        <is>
          <t>JÄMTLANDS LÄN</t>
        </is>
      </c>
      <c r="E1015" t="inlineStr">
        <is>
          <t>HÄRJEDALEN</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45179-2025</t>
        </is>
      </c>
      <c r="B1016" s="1" t="n">
        <v>45919.52993055555</v>
      </c>
      <c r="C1016" s="1" t="n">
        <v>46046</v>
      </c>
      <c r="D1016" t="inlineStr">
        <is>
          <t>JÄMTLANDS LÄN</t>
        </is>
      </c>
      <c r="E1016" t="inlineStr">
        <is>
          <t>HÄRJEDALEN</t>
        </is>
      </c>
      <c r="F1016" t="inlineStr">
        <is>
          <t>Bergvik skog väst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45100-2025</t>
        </is>
      </c>
      <c r="B1017" s="1" t="n">
        <v>45919</v>
      </c>
      <c r="C1017" s="1" t="n">
        <v>46046</v>
      </c>
      <c r="D1017" t="inlineStr">
        <is>
          <t>JÄMTLANDS LÄN</t>
        </is>
      </c>
      <c r="E1017" t="inlineStr">
        <is>
          <t>HÄRJEDALEN</t>
        </is>
      </c>
      <c r="F1017" t="inlineStr">
        <is>
          <t>Bergvik skog väst AB</t>
        </is>
      </c>
      <c r="G1017" t="n">
        <v>22.4</v>
      </c>
      <c r="H1017" t="n">
        <v>0</v>
      </c>
      <c r="I1017" t="n">
        <v>0</v>
      </c>
      <c r="J1017" t="n">
        <v>0</v>
      </c>
      <c r="K1017" t="n">
        <v>0</v>
      </c>
      <c r="L1017" t="n">
        <v>0</v>
      </c>
      <c r="M1017" t="n">
        <v>0</v>
      </c>
      <c r="N1017" t="n">
        <v>0</v>
      </c>
      <c r="O1017" t="n">
        <v>0</v>
      </c>
      <c r="P1017" t="n">
        <v>0</v>
      </c>
      <c r="Q1017" t="n">
        <v>0</v>
      </c>
      <c r="R1017" s="2" t="inlineStr"/>
    </row>
    <row r="1018" ht="15" customHeight="1">
      <c r="A1018" t="inlineStr">
        <is>
          <t>A 20341-2025</t>
        </is>
      </c>
      <c r="B1018" s="1" t="n">
        <v>45775.36587962963</v>
      </c>
      <c r="C1018" s="1" t="n">
        <v>46046</v>
      </c>
      <c r="D1018" t="inlineStr">
        <is>
          <t>JÄMTLANDS LÄN</t>
        </is>
      </c>
      <c r="E1018" t="inlineStr">
        <is>
          <t>HÄRJEDALEN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45455-2025</t>
        </is>
      </c>
      <c r="B1019" s="1" t="n">
        <v>45922.49034722222</v>
      </c>
      <c r="C1019" s="1" t="n">
        <v>46046</v>
      </c>
      <c r="D1019" t="inlineStr">
        <is>
          <t>JÄMTLANDS LÄN</t>
        </is>
      </c>
      <c r="E1019" t="inlineStr">
        <is>
          <t>HÄRJEDALEN</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45562-2025</t>
        </is>
      </c>
      <c r="B1020" s="1" t="n">
        <v>45922.64740740741</v>
      </c>
      <c r="C1020" s="1" t="n">
        <v>46046</v>
      </c>
      <c r="D1020" t="inlineStr">
        <is>
          <t>JÄMTLANDS LÄN</t>
        </is>
      </c>
      <c r="E1020" t="inlineStr">
        <is>
          <t>HÄRJEDALEN</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58446-2024</t>
        </is>
      </c>
      <c r="B1021" s="1" t="n">
        <v>45635.33439814814</v>
      </c>
      <c r="C1021" s="1" t="n">
        <v>46046</v>
      </c>
      <c r="D1021" t="inlineStr">
        <is>
          <t>JÄMTLANDS LÄN</t>
        </is>
      </c>
      <c r="E1021" t="inlineStr">
        <is>
          <t>HÄRJEDALEN</t>
        </is>
      </c>
      <c r="F1021" t="inlineStr">
        <is>
          <t>Bergvik skog väst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45457-2025</t>
        </is>
      </c>
      <c r="B1022" s="1" t="n">
        <v>45922.49168981481</v>
      </c>
      <c r="C1022" s="1" t="n">
        <v>46046</v>
      </c>
      <c r="D1022" t="inlineStr">
        <is>
          <t>JÄMTLANDS LÄN</t>
        </is>
      </c>
      <c r="E1022" t="inlineStr">
        <is>
          <t>HÄRJEDALEN</t>
        </is>
      </c>
      <c r="F1022" t="inlineStr">
        <is>
          <t>Bergvik skog väst AB</t>
        </is>
      </c>
      <c r="G1022" t="n">
        <v>45.8</v>
      </c>
      <c r="H1022" t="n">
        <v>0</v>
      </c>
      <c r="I1022" t="n">
        <v>0</v>
      </c>
      <c r="J1022" t="n">
        <v>0</v>
      </c>
      <c r="K1022" t="n">
        <v>0</v>
      </c>
      <c r="L1022" t="n">
        <v>0</v>
      </c>
      <c r="M1022" t="n">
        <v>0</v>
      </c>
      <c r="N1022" t="n">
        <v>0</v>
      </c>
      <c r="O1022" t="n">
        <v>0</v>
      </c>
      <c r="P1022" t="n">
        <v>0</v>
      </c>
      <c r="Q1022" t="n">
        <v>0</v>
      </c>
      <c r="R1022" s="2" t="inlineStr"/>
    </row>
    <row r="1023" ht="15" customHeight="1">
      <c r="A1023" t="inlineStr">
        <is>
          <t>A 69271-2021</t>
        </is>
      </c>
      <c r="B1023" s="1" t="n">
        <v>44531.43927083333</v>
      </c>
      <c r="C1023" s="1" t="n">
        <v>46046</v>
      </c>
      <c r="D1023" t="inlineStr">
        <is>
          <t>JÄMTLANDS LÄN</t>
        </is>
      </c>
      <c r="E1023" t="inlineStr">
        <is>
          <t>HÄRJEDALEN</t>
        </is>
      </c>
      <c r="F1023" t="inlineStr">
        <is>
          <t>Bergvik skog väst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44819-2024</t>
        </is>
      </c>
      <c r="B1024" s="1" t="n">
        <v>45574.66106481481</v>
      </c>
      <c r="C1024" s="1" t="n">
        <v>46046</v>
      </c>
      <c r="D1024" t="inlineStr">
        <is>
          <t>JÄMTLANDS LÄN</t>
        </is>
      </c>
      <c r="E1024" t="inlineStr">
        <is>
          <t>HÄRJEDALEN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46429-2025</t>
        </is>
      </c>
      <c r="B1025" s="1" t="n">
        <v>45925.6144212963</v>
      </c>
      <c r="C1025" s="1" t="n">
        <v>46046</v>
      </c>
      <c r="D1025" t="inlineStr">
        <is>
          <t>JÄMTLANDS LÄN</t>
        </is>
      </c>
      <c r="E1025" t="inlineStr">
        <is>
          <t>HÄRJEDALEN</t>
        </is>
      </c>
      <c r="F1025" t="inlineStr">
        <is>
          <t>Bergvik skog öst AB</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44967-2024</t>
        </is>
      </c>
      <c r="B1026" s="1" t="n">
        <v>45575</v>
      </c>
      <c r="C1026" s="1" t="n">
        <v>46046</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32910-2022</t>
        </is>
      </c>
      <c r="B1027" s="1" t="n">
        <v>44784.60677083334</v>
      </c>
      <c r="C1027" s="1" t="n">
        <v>46046</v>
      </c>
      <c r="D1027" t="inlineStr">
        <is>
          <t>JÄMTLANDS LÄN</t>
        </is>
      </c>
      <c r="E1027" t="inlineStr">
        <is>
          <t>HÄRJEDALEN</t>
        </is>
      </c>
      <c r="F1027" t="inlineStr">
        <is>
          <t>Bergvik skog väst AB</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31587-2024</t>
        </is>
      </c>
      <c r="B1028" s="1" t="n">
        <v>45506.36534722222</v>
      </c>
      <c r="C1028" s="1" t="n">
        <v>46046</v>
      </c>
      <c r="D1028" t="inlineStr">
        <is>
          <t>JÄMTLANDS LÄN</t>
        </is>
      </c>
      <c r="E1028" t="inlineStr">
        <is>
          <t>HÄRJEDALEN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47021-2025</t>
        </is>
      </c>
      <c r="B1029" s="1" t="n">
        <v>45929.57756944445</v>
      </c>
      <c r="C1029" s="1" t="n">
        <v>46046</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45075.59358796296</v>
      </c>
      <c r="C1030" s="1" t="n">
        <v>46046</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46681-2025</t>
        </is>
      </c>
      <c r="B1031" s="1" t="n">
        <v>45926.54697916667</v>
      </c>
      <c r="C1031" s="1" t="n">
        <v>46046</v>
      </c>
      <c r="D1031" t="inlineStr">
        <is>
          <t>JÄMTLANDS LÄN</t>
        </is>
      </c>
      <c r="E1031" t="inlineStr">
        <is>
          <t>HÄRJEDALEN</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46716-2025</t>
        </is>
      </c>
      <c r="B1032" s="1" t="n">
        <v>45926.57876157408</v>
      </c>
      <c r="C1032" s="1" t="n">
        <v>46046</v>
      </c>
      <c r="D1032" t="inlineStr">
        <is>
          <t>JÄMTLANDS LÄN</t>
        </is>
      </c>
      <c r="E1032" t="inlineStr">
        <is>
          <t>HÄRJEDALEN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2106-2025</t>
        </is>
      </c>
      <c r="B1033" s="1" t="n">
        <v>45672.61748842592</v>
      </c>
      <c r="C1033" s="1" t="n">
        <v>46046</v>
      </c>
      <c r="D1033" t="inlineStr">
        <is>
          <t>JÄMTLANDS LÄN</t>
        </is>
      </c>
      <c r="E1033" t="inlineStr">
        <is>
          <t>HÄRJEDALEN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46946-2025</t>
        </is>
      </c>
      <c r="B1034" s="1" t="n">
        <v>45929.4609837963</v>
      </c>
      <c r="C1034" s="1" t="n">
        <v>46046</v>
      </c>
      <c r="D1034" t="inlineStr">
        <is>
          <t>JÄMTLANDS LÄN</t>
        </is>
      </c>
      <c r="E1034" t="inlineStr">
        <is>
          <t>HÄRJEDALEN</t>
        </is>
      </c>
      <c r="F1034" t="inlineStr">
        <is>
          <t>Bergvik skog öst AB</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47503-2025</t>
        </is>
      </c>
      <c r="B1035" s="1" t="n">
        <v>45930.85418981482</v>
      </c>
      <c r="C1035" s="1" t="n">
        <v>46046</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47236-2025</t>
        </is>
      </c>
      <c r="B1036" s="1" t="n">
        <v>45930</v>
      </c>
      <c r="C1036" s="1" t="n">
        <v>46046</v>
      </c>
      <c r="D1036" t="inlineStr">
        <is>
          <t>JÄMTLANDS LÄN</t>
        </is>
      </c>
      <c r="E1036" t="inlineStr">
        <is>
          <t>HÄRJEDALEN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47232-2025</t>
        </is>
      </c>
      <c r="B1037" s="1" t="n">
        <v>45930</v>
      </c>
      <c r="C1037" s="1" t="n">
        <v>46046</v>
      </c>
      <c r="D1037" t="inlineStr">
        <is>
          <t>JÄMTLANDS LÄN</t>
        </is>
      </c>
      <c r="E1037" t="inlineStr">
        <is>
          <t>HÄRJEDALEN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18362-2025</t>
        </is>
      </c>
      <c r="B1038" s="1" t="n">
        <v>45762.55899305556</v>
      </c>
      <c r="C1038" s="1" t="n">
        <v>46046</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47727-2025</t>
        </is>
      </c>
      <c r="B1039" s="1" t="n">
        <v>45931.63174768518</v>
      </c>
      <c r="C1039" s="1" t="n">
        <v>46046</v>
      </c>
      <c r="D1039" t="inlineStr">
        <is>
          <t>JÄMTLANDS LÄN</t>
        </is>
      </c>
      <c r="E1039" t="inlineStr">
        <is>
          <t>HÄRJEDALEN</t>
        </is>
      </c>
      <c r="F1039" t="inlineStr">
        <is>
          <t>Bergvik skog väst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44632-2025</t>
        </is>
      </c>
      <c r="B1040" s="1" t="n">
        <v>45917</v>
      </c>
      <c r="C1040" s="1" t="n">
        <v>46046</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47314-2025</t>
        </is>
      </c>
      <c r="B1041" s="1" t="n">
        <v>45930.54700231482</v>
      </c>
      <c r="C1041" s="1" t="n">
        <v>46046</v>
      </c>
      <c r="D1041" t="inlineStr">
        <is>
          <t>JÄMTLANDS LÄN</t>
        </is>
      </c>
      <c r="E1041" t="inlineStr">
        <is>
          <t>HÄRJEDALEN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47701-2025</t>
        </is>
      </c>
      <c r="B1042" s="1" t="n">
        <v>45931.60657407407</v>
      </c>
      <c r="C1042" s="1" t="n">
        <v>46046</v>
      </c>
      <c r="D1042" t="inlineStr">
        <is>
          <t>JÄMTLANDS LÄN</t>
        </is>
      </c>
      <c r="E1042" t="inlineStr">
        <is>
          <t>HÄRJEDALEN</t>
        </is>
      </c>
      <c r="G1042" t="n">
        <v>17.2</v>
      </c>
      <c r="H1042" t="n">
        <v>0</v>
      </c>
      <c r="I1042" t="n">
        <v>0</v>
      </c>
      <c r="J1042" t="n">
        <v>0</v>
      </c>
      <c r="K1042" t="n">
        <v>0</v>
      </c>
      <c r="L1042" t="n">
        <v>0</v>
      </c>
      <c r="M1042" t="n">
        <v>0</v>
      </c>
      <c r="N1042" t="n">
        <v>0</v>
      </c>
      <c r="O1042" t="n">
        <v>0</v>
      </c>
      <c r="P1042" t="n">
        <v>0</v>
      </c>
      <c r="Q1042" t="n">
        <v>0</v>
      </c>
      <c r="R1042" s="2" t="inlineStr"/>
    </row>
    <row r="1043" ht="15" customHeight="1">
      <c r="A1043" t="inlineStr">
        <is>
          <t>A 47699-2025</t>
        </is>
      </c>
      <c r="B1043" s="1" t="n">
        <v>45931.60063657408</v>
      </c>
      <c r="C1043" s="1" t="n">
        <v>46046</v>
      </c>
      <c r="D1043" t="inlineStr">
        <is>
          <t>JÄMTLANDS LÄN</t>
        </is>
      </c>
      <c r="E1043" t="inlineStr">
        <is>
          <t>HÄRJEDALEN</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47501-2025</t>
        </is>
      </c>
      <c r="B1044" s="1" t="n">
        <v>45930.85032407408</v>
      </c>
      <c r="C1044" s="1" t="n">
        <v>46046</v>
      </c>
      <c r="D1044" t="inlineStr">
        <is>
          <t>JÄMTLANDS LÄN</t>
        </is>
      </c>
      <c r="E1044" t="inlineStr">
        <is>
          <t>HÄRJEDALEN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7313-2024</t>
        </is>
      </c>
      <c r="B1045" s="1" t="n">
        <v>45345.35003472222</v>
      </c>
      <c r="C1045" s="1" t="n">
        <v>46046</v>
      </c>
      <c r="D1045" t="inlineStr">
        <is>
          <t>JÄMTLANDS LÄN</t>
        </is>
      </c>
      <c r="E1045" t="inlineStr">
        <is>
          <t>HÄRJEDALEN</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48284-2025</t>
        </is>
      </c>
      <c r="B1046" s="1" t="n">
        <v>45933</v>
      </c>
      <c r="C1046" s="1" t="n">
        <v>46046</v>
      </c>
      <c r="D1046" t="inlineStr">
        <is>
          <t>JÄMTLANDS LÄN</t>
        </is>
      </c>
      <c r="E1046" t="inlineStr">
        <is>
          <t>HÄRJEDALEN</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46046</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61571-2022</t>
        </is>
      </c>
      <c r="B1048" s="1" t="n">
        <v>44916</v>
      </c>
      <c r="C1048" s="1" t="n">
        <v>46046</v>
      </c>
      <c r="D1048" t="inlineStr">
        <is>
          <t>JÄMTLANDS LÄN</t>
        </is>
      </c>
      <c r="E1048" t="inlineStr">
        <is>
          <t>HÄRJEDALEN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10002-2025</t>
        </is>
      </c>
      <c r="B1049" s="1" t="n">
        <v>45719.45215277778</v>
      </c>
      <c r="C1049" s="1" t="n">
        <v>46046</v>
      </c>
      <c r="D1049" t="inlineStr">
        <is>
          <t>JÄMTLANDS LÄN</t>
        </is>
      </c>
      <c r="E1049" t="inlineStr">
        <is>
          <t>HÄRJEDALEN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48243-2025</t>
        </is>
      </c>
      <c r="B1050" s="1" t="n">
        <v>45933.53942129629</v>
      </c>
      <c r="C1050" s="1" t="n">
        <v>46046</v>
      </c>
      <c r="D1050" t="inlineStr">
        <is>
          <t>JÄMTLANDS LÄN</t>
        </is>
      </c>
      <c r="E1050" t="inlineStr">
        <is>
          <t>HÄRJEDALEN</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55859-2024</t>
        </is>
      </c>
      <c r="B1051" s="1" t="n">
        <v>45622</v>
      </c>
      <c r="C1051" s="1" t="n">
        <v>46046</v>
      </c>
      <c r="D1051" t="inlineStr">
        <is>
          <t>JÄMTLANDS LÄN</t>
        </is>
      </c>
      <c r="E1051" t="inlineStr">
        <is>
          <t>HÄRJEDALEN</t>
        </is>
      </c>
      <c r="F1051" t="inlineStr">
        <is>
          <t>Bergvik skog väst AB</t>
        </is>
      </c>
      <c r="G1051" t="n">
        <v>28.1</v>
      </c>
      <c r="H1051" t="n">
        <v>0</v>
      </c>
      <c r="I1051" t="n">
        <v>0</v>
      </c>
      <c r="J1051" t="n">
        <v>0</v>
      </c>
      <c r="K1051" t="n">
        <v>0</v>
      </c>
      <c r="L1051" t="n">
        <v>0</v>
      </c>
      <c r="M1051" t="n">
        <v>0</v>
      </c>
      <c r="N1051" t="n">
        <v>0</v>
      </c>
      <c r="O1051" t="n">
        <v>0</v>
      </c>
      <c r="P1051" t="n">
        <v>0</v>
      </c>
      <c r="Q1051" t="n">
        <v>0</v>
      </c>
      <c r="R1051" s="2" t="inlineStr"/>
    </row>
    <row r="1052" ht="15" customHeight="1">
      <c r="A1052" t="inlineStr">
        <is>
          <t>A 36645-2024</t>
        </is>
      </c>
      <c r="B1052" s="1" t="n">
        <v>45537.60471064815</v>
      </c>
      <c r="C1052" s="1" t="n">
        <v>46046</v>
      </c>
      <c r="D1052" t="inlineStr">
        <is>
          <t>JÄMTLANDS LÄN</t>
        </is>
      </c>
      <c r="E1052" t="inlineStr">
        <is>
          <t>HÄRJEDALEN</t>
        </is>
      </c>
      <c r="F1052" t="inlineStr">
        <is>
          <t>Holmen skog AB</t>
        </is>
      </c>
      <c r="G1052" t="n">
        <v>16.8</v>
      </c>
      <c r="H1052" t="n">
        <v>0</v>
      </c>
      <c r="I1052" t="n">
        <v>0</v>
      </c>
      <c r="J1052" t="n">
        <v>0</v>
      </c>
      <c r="K1052" t="n">
        <v>0</v>
      </c>
      <c r="L1052" t="n">
        <v>0</v>
      </c>
      <c r="M1052" t="n">
        <v>0</v>
      </c>
      <c r="N1052" t="n">
        <v>0</v>
      </c>
      <c r="O1052" t="n">
        <v>0</v>
      </c>
      <c r="P1052" t="n">
        <v>0</v>
      </c>
      <c r="Q1052" t="n">
        <v>0</v>
      </c>
      <c r="R1052" s="2" t="inlineStr"/>
    </row>
    <row r="1053" ht="15" customHeight="1">
      <c r="A1053" t="inlineStr">
        <is>
          <t>A 46693-2025</t>
        </is>
      </c>
      <c r="B1053" s="1" t="n">
        <v>45926</v>
      </c>
      <c r="C1053" s="1" t="n">
        <v>46046</v>
      </c>
      <c r="D1053" t="inlineStr">
        <is>
          <t>JÄMTLANDS LÄN</t>
        </is>
      </c>
      <c r="E1053" t="inlineStr">
        <is>
          <t>HÄRJEDALEN</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62721-2022</t>
        </is>
      </c>
      <c r="B1054" s="1" t="n">
        <v>44925.64049768518</v>
      </c>
      <c r="C1054" s="1" t="n">
        <v>46046</v>
      </c>
      <c r="D1054" t="inlineStr">
        <is>
          <t>JÄMTLANDS LÄN</t>
        </is>
      </c>
      <c r="E1054" t="inlineStr">
        <is>
          <t>HÄRJEDALEN</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59946-2024</t>
        </is>
      </c>
      <c r="B1055" s="1" t="n">
        <v>45642.33616898148</v>
      </c>
      <c r="C1055" s="1" t="n">
        <v>46046</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11877-2025</t>
        </is>
      </c>
      <c r="B1056" s="1" t="n">
        <v>45728.44329861111</v>
      </c>
      <c r="C1056" s="1" t="n">
        <v>46046</v>
      </c>
      <c r="D1056" t="inlineStr">
        <is>
          <t>JÄMTLANDS LÄN</t>
        </is>
      </c>
      <c r="E1056" t="inlineStr">
        <is>
          <t>HÄRJEDALEN</t>
        </is>
      </c>
      <c r="F1056" t="inlineStr">
        <is>
          <t>Bergvik skog väst AB</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24426-2022</t>
        </is>
      </c>
      <c r="B1057" s="1" t="n">
        <v>44726</v>
      </c>
      <c r="C1057" s="1" t="n">
        <v>46046</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46046</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37281-2024</t>
        </is>
      </c>
      <c r="B1059" s="1" t="n">
        <v>45540.4264699074</v>
      </c>
      <c r="C1059" s="1" t="n">
        <v>46046</v>
      </c>
      <c r="D1059" t="inlineStr">
        <is>
          <t>JÄMTLANDS LÄN</t>
        </is>
      </c>
      <c r="E1059" t="inlineStr">
        <is>
          <t>HÄRJEDALEN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49163-2025</t>
        </is>
      </c>
      <c r="B1060" s="1" t="n">
        <v>45938.35490740741</v>
      </c>
      <c r="C1060" s="1" t="n">
        <v>46046</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49168-2025</t>
        </is>
      </c>
      <c r="B1061" s="1" t="n">
        <v>45938.36853009259</v>
      </c>
      <c r="C1061" s="1" t="n">
        <v>46046</v>
      </c>
      <c r="D1061" t="inlineStr">
        <is>
          <t>JÄMTLANDS LÄN</t>
        </is>
      </c>
      <c r="E1061" t="inlineStr">
        <is>
          <t>HÄRJEDALEN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49389-2025</t>
        </is>
      </c>
      <c r="B1062" s="1" t="n">
        <v>45938.64905092592</v>
      </c>
      <c r="C1062" s="1" t="n">
        <v>46046</v>
      </c>
      <c r="D1062" t="inlineStr">
        <is>
          <t>JÄMTLANDS LÄN</t>
        </is>
      </c>
      <c r="E1062" t="inlineStr">
        <is>
          <t>HÄRJEDALEN</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49426-2025</t>
        </is>
      </c>
      <c r="B1063" s="1" t="n">
        <v>45938.74932870371</v>
      </c>
      <c r="C1063" s="1" t="n">
        <v>46046</v>
      </c>
      <c r="D1063" t="inlineStr">
        <is>
          <t>JÄMTLANDS LÄN</t>
        </is>
      </c>
      <c r="E1063" t="inlineStr">
        <is>
          <t>HÄRJEDALEN</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49515-2025</t>
        </is>
      </c>
      <c r="B1064" s="1" t="n">
        <v>45939.38605324074</v>
      </c>
      <c r="C1064" s="1" t="n">
        <v>46046</v>
      </c>
      <c r="D1064" t="inlineStr">
        <is>
          <t>JÄMTLANDS LÄN</t>
        </is>
      </c>
      <c r="E1064" t="inlineStr">
        <is>
          <t>HÄRJEDALEN</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49569-2025</t>
        </is>
      </c>
      <c r="B1065" s="1" t="n">
        <v>45939.47834490741</v>
      </c>
      <c r="C1065" s="1" t="n">
        <v>46046</v>
      </c>
      <c r="D1065" t="inlineStr">
        <is>
          <t>JÄMTLANDS LÄN</t>
        </is>
      </c>
      <c r="E1065" t="inlineStr">
        <is>
          <t>HÄRJEDALEN</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49427-2025</t>
        </is>
      </c>
      <c r="B1066" s="1" t="n">
        <v>45938.76107638889</v>
      </c>
      <c r="C1066" s="1" t="n">
        <v>46046</v>
      </c>
      <c r="D1066" t="inlineStr">
        <is>
          <t>JÄMTLANDS LÄN</t>
        </is>
      </c>
      <c r="E1066" t="inlineStr">
        <is>
          <t>HÄRJEDALEN</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43316-2024</t>
        </is>
      </c>
      <c r="B1067" s="1" t="n">
        <v>45568</v>
      </c>
      <c r="C1067" s="1" t="n">
        <v>46046</v>
      </c>
      <c r="D1067" t="inlineStr">
        <is>
          <t>JÄMTLANDS LÄN</t>
        </is>
      </c>
      <c r="E1067" t="inlineStr">
        <is>
          <t>HÄRJEDALEN</t>
        </is>
      </c>
      <c r="F1067" t="inlineStr">
        <is>
          <t>Bergvik skog väst AB</t>
        </is>
      </c>
      <c r="G1067" t="n">
        <v>79.90000000000001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48804-2025</t>
        </is>
      </c>
      <c r="B1068" s="1" t="n">
        <v>45937.35050925926</v>
      </c>
      <c r="C1068" s="1" t="n">
        <v>46046</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49537-2025</t>
        </is>
      </c>
      <c r="B1069" s="1" t="n">
        <v>45939.42302083333</v>
      </c>
      <c r="C1069" s="1" t="n">
        <v>46046</v>
      </c>
      <c r="D1069" t="inlineStr">
        <is>
          <t>JÄMTLANDS LÄN</t>
        </is>
      </c>
      <c r="E1069" t="inlineStr">
        <is>
          <t>HÄRJEDALEN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48771-2025</t>
        </is>
      </c>
      <c r="B1070" s="1" t="n">
        <v>45936.92728009259</v>
      </c>
      <c r="C1070" s="1" t="n">
        <v>46046</v>
      </c>
      <c r="D1070" t="inlineStr">
        <is>
          <t>JÄMTLANDS LÄN</t>
        </is>
      </c>
      <c r="E1070" t="inlineStr">
        <is>
          <t>HÄRJEDALEN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49716-2025</t>
        </is>
      </c>
      <c r="B1071" s="1" t="n">
        <v>45939.73686342593</v>
      </c>
      <c r="C1071" s="1" t="n">
        <v>46046</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49715-2025</t>
        </is>
      </c>
      <c r="B1072" s="1" t="n">
        <v>45939.7344212963</v>
      </c>
      <c r="C1072" s="1" t="n">
        <v>46046</v>
      </c>
      <c r="D1072" t="inlineStr">
        <is>
          <t>JÄMTLANDS LÄN</t>
        </is>
      </c>
      <c r="E1072" t="inlineStr">
        <is>
          <t>HÄRJEDALEN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49717-2025</t>
        </is>
      </c>
      <c r="B1073" s="1" t="n">
        <v>45939.74859953704</v>
      </c>
      <c r="C1073" s="1" t="n">
        <v>46046</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49325-2025</t>
        </is>
      </c>
      <c r="B1074" s="1" t="n">
        <v>45938.57407407407</v>
      </c>
      <c r="C1074" s="1" t="n">
        <v>46046</v>
      </c>
      <c r="D1074" t="inlineStr">
        <is>
          <t>JÄMTLANDS LÄN</t>
        </is>
      </c>
      <c r="E1074" t="inlineStr">
        <is>
          <t>HÄRJEDALEN</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43309-2024</t>
        </is>
      </c>
      <c r="B1075" s="1" t="n">
        <v>45568</v>
      </c>
      <c r="C1075" s="1" t="n">
        <v>46046</v>
      </c>
      <c r="D1075" t="inlineStr">
        <is>
          <t>JÄMTLANDS LÄN</t>
        </is>
      </c>
      <c r="E1075" t="inlineStr">
        <is>
          <t>HÄRJEDALEN</t>
        </is>
      </c>
      <c r="F1075" t="inlineStr">
        <is>
          <t>Bergvik skog väst AB</t>
        </is>
      </c>
      <c r="G1075" t="n">
        <v>79.8</v>
      </c>
      <c r="H1075" t="n">
        <v>0</v>
      </c>
      <c r="I1075" t="n">
        <v>0</v>
      </c>
      <c r="J1075" t="n">
        <v>0</v>
      </c>
      <c r="K1075" t="n">
        <v>0</v>
      </c>
      <c r="L1075" t="n">
        <v>0</v>
      </c>
      <c r="M1075" t="n">
        <v>0</v>
      </c>
      <c r="N1075" t="n">
        <v>0</v>
      </c>
      <c r="O1075" t="n">
        <v>0</v>
      </c>
      <c r="P1075" t="n">
        <v>0</v>
      </c>
      <c r="Q1075" t="n">
        <v>0</v>
      </c>
      <c r="R1075" s="2" t="inlineStr"/>
    </row>
    <row r="1076" ht="15" customHeight="1">
      <c r="A1076" t="inlineStr">
        <is>
          <t>A 49979-2025</t>
        </is>
      </c>
      <c r="B1076" s="1" t="n">
        <v>45942.62457175926</v>
      </c>
      <c r="C1076" s="1" t="n">
        <v>46046</v>
      </c>
      <c r="D1076" t="inlineStr">
        <is>
          <t>JÄMTLANDS LÄN</t>
        </is>
      </c>
      <c r="E1076" t="inlineStr">
        <is>
          <t>HÄRJEDALEN</t>
        </is>
      </c>
      <c r="F1076" t="inlineStr">
        <is>
          <t>Kyrkan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50051-2025</t>
        </is>
      </c>
      <c r="B1077" s="1" t="n">
        <v>45943.420625</v>
      </c>
      <c r="C1077" s="1" t="n">
        <v>46046</v>
      </c>
      <c r="D1077" t="inlineStr">
        <is>
          <t>JÄMTLANDS LÄN</t>
        </is>
      </c>
      <c r="E1077" t="inlineStr">
        <is>
          <t>HÄRJEDALEN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50464-2025</t>
        </is>
      </c>
      <c r="B1078" s="1" t="n">
        <v>45945.34971064814</v>
      </c>
      <c r="C1078" s="1" t="n">
        <v>46046</v>
      </c>
      <c r="D1078" t="inlineStr">
        <is>
          <t>JÄMTLANDS LÄN</t>
        </is>
      </c>
      <c r="E1078" t="inlineStr">
        <is>
          <t>HÄRJEDALEN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50588-2025</t>
        </is>
      </c>
      <c r="B1079" s="1" t="n">
        <v>45945.59920138889</v>
      </c>
      <c r="C1079" s="1" t="n">
        <v>46046</v>
      </c>
      <c r="D1079" t="inlineStr">
        <is>
          <t>JÄMTLANDS LÄN</t>
        </is>
      </c>
      <c r="E1079" t="inlineStr">
        <is>
          <t>HÄRJEDALEN</t>
        </is>
      </c>
      <c r="F1079" t="inlineStr">
        <is>
          <t>Bergvik skog väst AB</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50570-2025</t>
        </is>
      </c>
      <c r="B1080" s="1" t="n">
        <v>45945.57354166666</v>
      </c>
      <c r="C1080" s="1" t="n">
        <v>46046</v>
      </c>
      <c r="D1080" t="inlineStr">
        <is>
          <t>JÄMTLANDS LÄN</t>
        </is>
      </c>
      <c r="E1080" t="inlineStr">
        <is>
          <t>HÄRJEDALEN</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50631-2025</t>
        </is>
      </c>
      <c r="B1081" s="1" t="n">
        <v>45945.64795138889</v>
      </c>
      <c r="C1081" s="1" t="n">
        <v>46046</v>
      </c>
      <c r="D1081" t="inlineStr">
        <is>
          <t>JÄMTLANDS LÄN</t>
        </is>
      </c>
      <c r="E1081" t="inlineStr">
        <is>
          <t>HÄRJEDALEN</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50423-2025</t>
        </is>
      </c>
      <c r="B1082" s="1" t="n">
        <v>45944.66243055555</v>
      </c>
      <c r="C1082" s="1" t="n">
        <v>46046</v>
      </c>
      <c r="D1082" t="inlineStr">
        <is>
          <t>JÄMTLANDS LÄN</t>
        </is>
      </c>
      <c r="E1082" t="inlineStr">
        <is>
          <t>HÄRJEDALEN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50424-2025</t>
        </is>
      </c>
      <c r="B1083" s="1" t="n">
        <v>45944.66541666666</v>
      </c>
      <c r="C1083" s="1" t="n">
        <v>46046</v>
      </c>
      <c r="D1083" t="inlineStr">
        <is>
          <t>JÄMTLANDS LÄN</t>
        </is>
      </c>
      <c r="E1083" t="inlineStr">
        <is>
          <t>HÄRJEDALEN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50639-2025</t>
        </is>
      </c>
      <c r="B1084" s="1" t="n">
        <v>45945.65363425926</v>
      </c>
      <c r="C1084" s="1" t="n">
        <v>46046</v>
      </c>
      <c r="D1084" t="inlineStr">
        <is>
          <t>JÄMTLANDS LÄN</t>
        </is>
      </c>
      <c r="E1084" t="inlineStr">
        <is>
          <t>HÄRJEDALEN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50803-2025</t>
        </is>
      </c>
      <c r="B1085" s="1" t="n">
        <v>45946.49534722222</v>
      </c>
      <c r="C1085" s="1" t="n">
        <v>46046</v>
      </c>
      <c r="D1085" t="inlineStr">
        <is>
          <t>JÄMTLANDS LÄN</t>
        </is>
      </c>
      <c r="E1085" t="inlineStr">
        <is>
          <t>HÄRJEDALEN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50764-2025</t>
        </is>
      </c>
      <c r="B1086" s="1" t="n">
        <v>45946.43961805556</v>
      </c>
      <c r="C1086" s="1" t="n">
        <v>46046</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45195-2025</t>
        </is>
      </c>
      <c r="B1087" s="1" t="n">
        <v>45919</v>
      </c>
      <c r="C1087" s="1" t="n">
        <v>46046</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51016-2025</t>
        </is>
      </c>
      <c r="B1088" s="1" t="n">
        <v>45947.3843287037</v>
      </c>
      <c r="C1088" s="1" t="n">
        <v>46046</v>
      </c>
      <c r="D1088" t="inlineStr">
        <is>
          <t>JÄMTLANDS LÄN</t>
        </is>
      </c>
      <c r="E1088" t="inlineStr">
        <is>
          <t>HÄRJEDALEN</t>
        </is>
      </c>
      <c r="F1088" t="inlineStr">
        <is>
          <t>Bergvik skog väst AB</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51082-2025</t>
        </is>
      </c>
      <c r="B1089" s="1" t="n">
        <v>45947</v>
      </c>
      <c r="C1089" s="1" t="n">
        <v>46046</v>
      </c>
      <c r="D1089" t="inlineStr">
        <is>
          <t>JÄMTLANDS LÄN</t>
        </is>
      </c>
      <c r="E1089" t="inlineStr">
        <is>
          <t>HÄRJEDALEN</t>
        </is>
      </c>
      <c r="F1089" t="inlineStr">
        <is>
          <t>Bergvik skog väst AB</t>
        </is>
      </c>
      <c r="G1089" t="n">
        <v>26.4</v>
      </c>
      <c r="H1089" t="n">
        <v>0</v>
      </c>
      <c r="I1089" t="n">
        <v>0</v>
      </c>
      <c r="J1089" t="n">
        <v>0</v>
      </c>
      <c r="K1089" t="n">
        <v>0</v>
      </c>
      <c r="L1089" t="n">
        <v>0</v>
      </c>
      <c r="M1089" t="n">
        <v>0</v>
      </c>
      <c r="N1089" t="n">
        <v>0</v>
      </c>
      <c r="O1089" t="n">
        <v>0</v>
      </c>
      <c r="P1089" t="n">
        <v>0</v>
      </c>
      <c r="Q1089" t="n">
        <v>0</v>
      </c>
      <c r="R1089" s="2" t="inlineStr"/>
    </row>
    <row r="1090" ht="15" customHeight="1">
      <c r="A1090" t="inlineStr">
        <is>
          <t>A 51270-2025</t>
        </is>
      </c>
      <c r="B1090" s="1" t="n">
        <v>45949.84528935186</v>
      </c>
      <c r="C1090" s="1" t="n">
        <v>46046</v>
      </c>
      <c r="D1090" t="inlineStr">
        <is>
          <t>JÄMTLANDS LÄN</t>
        </is>
      </c>
      <c r="E1090" t="inlineStr">
        <is>
          <t>HÄRJEDALEN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51653-2025</t>
        </is>
      </c>
      <c r="B1091" s="1" t="n">
        <v>45951.46152777778</v>
      </c>
      <c r="C1091" s="1" t="n">
        <v>46046</v>
      </c>
      <c r="D1091" t="inlineStr">
        <is>
          <t>JÄMTLANDS LÄN</t>
        </is>
      </c>
      <c r="E1091" t="inlineStr">
        <is>
          <t>HÄRJEDALEN</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52015-2025</t>
        </is>
      </c>
      <c r="B1092" s="1" t="n">
        <v>45952.59693287037</v>
      </c>
      <c r="C1092" s="1" t="n">
        <v>46046</v>
      </c>
      <c r="D1092" t="inlineStr">
        <is>
          <t>JÄMTLANDS LÄN</t>
        </is>
      </c>
      <c r="E1092" t="inlineStr">
        <is>
          <t>HÄRJEDALEN</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38709-2025</t>
        </is>
      </c>
      <c r="B1093" s="1" t="n">
        <v>45885</v>
      </c>
      <c r="C1093" s="1" t="n">
        <v>46046</v>
      </c>
      <c r="D1093" t="inlineStr">
        <is>
          <t>JÄMTLANDS LÄN</t>
        </is>
      </c>
      <c r="E1093" t="inlineStr">
        <is>
          <t>HÄRJEDALEN</t>
        </is>
      </c>
      <c r="G1093" t="n">
        <v>70</v>
      </c>
      <c r="H1093" t="n">
        <v>0</v>
      </c>
      <c r="I1093" t="n">
        <v>0</v>
      </c>
      <c r="J1093" t="n">
        <v>0</v>
      </c>
      <c r="K1093" t="n">
        <v>0</v>
      </c>
      <c r="L1093" t="n">
        <v>0</v>
      </c>
      <c r="M1093" t="n">
        <v>0</v>
      </c>
      <c r="N1093" t="n">
        <v>0</v>
      </c>
      <c r="O1093" t="n">
        <v>0</v>
      </c>
      <c r="P1093" t="n">
        <v>0</v>
      </c>
      <c r="Q1093" t="n">
        <v>0</v>
      </c>
      <c r="R1093" s="2" t="inlineStr"/>
    </row>
    <row r="1094" ht="15" customHeight="1">
      <c r="A1094" t="inlineStr">
        <is>
          <t>A 52230-2025</t>
        </is>
      </c>
      <c r="B1094" s="1" t="n">
        <v>45953</v>
      </c>
      <c r="C1094" s="1" t="n">
        <v>46046</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52520-2025</t>
        </is>
      </c>
      <c r="B1095" s="1" t="n">
        <v>45954.51769675926</v>
      </c>
      <c r="C1095" s="1" t="n">
        <v>46046</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53268-2025</t>
        </is>
      </c>
      <c r="B1096" s="1" t="n">
        <v>45958.69850694444</v>
      </c>
      <c r="C1096" s="1" t="n">
        <v>46046</v>
      </c>
      <c r="D1096" t="inlineStr">
        <is>
          <t>JÄMTLANDS LÄN</t>
        </is>
      </c>
      <c r="E1096" t="inlineStr">
        <is>
          <t>HÄRJEDALEN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53175-2025</t>
        </is>
      </c>
      <c r="B1097" s="1" t="n">
        <v>45958.52390046296</v>
      </c>
      <c r="C1097" s="1" t="n">
        <v>46046</v>
      </c>
      <c r="D1097" t="inlineStr">
        <is>
          <t>JÄMTLANDS LÄN</t>
        </is>
      </c>
      <c r="E1097" t="inlineStr">
        <is>
          <t>HÄRJEDALEN</t>
        </is>
      </c>
      <c r="G1097" t="n">
        <v>16.8</v>
      </c>
      <c r="H1097" t="n">
        <v>0</v>
      </c>
      <c r="I1097" t="n">
        <v>0</v>
      </c>
      <c r="J1097" t="n">
        <v>0</v>
      </c>
      <c r="K1097" t="n">
        <v>0</v>
      </c>
      <c r="L1097" t="n">
        <v>0</v>
      </c>
      <c r="M1097" t="n">
        <v>0</v>
      </c>
      <c r="N1097" t="n">
        <v>0</v>
      </c>
      <c r="O1097" t="n">
        <v>0</v>
      </c>
      <c r="P1097" t="n">
        <v>0</v>
      </c>
      <c r="Q1097" t="n">
        <v>0</v>
      </c>
      <c r="R1097" s="2" t="inlineStr"/>
    </row>
    <row r="1098" ht="15" customHeight="1">
      <c r="A1098" t="inlineStr">
        <is>
          <t>A 53256-2025</t>
        </is>
      </c>
      <c r="B1098" s="1" t="n">
        <v>45958.6740625</v>
      </c>
      <c r="C1098" s="1" t="n">
        <v>46046</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53253-2025</t>
        </is>
      </c>
      <c r="B1099" s="1" t="n">
        <v>45958.66732638889</v>
      </c>
      <c r="C1099" s="1" t="n">
        <v>46046</v>
      </c>
      <c r="D1099" t="inlineStr">
        <is>
          <t>JÄMTLANDS LÄN</t>
        </is>
      </c>
      <c r="E1099" t="inlineStr">
        <is>
          <t>HÄRJEDALEN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53265-2025</t>
        </is>
      </c>
      <c r="B1100" s="1" t="n">
        <v>45958.6809375</v>
      </c>
      <c r="C1100" s="1" t="n">
        <v>46046</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53267-2025</t>
        </is>
      </c>
      <c r="B1101" s="1" t="n">
        <v>45958.69079861111</v>
      </c>
      <c r="C1101" s="1" t="n">
        <v>46046</v>
      </c>
      <c r="D1101" t="inlineStr">
        <is>
          <t>JÄMTLANDS LÄN</t>
        </is>
      </c>
      <c r="E1101" t="inlineStr">
        <is>
          <t>HÄRJEDALEN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53260-2025</t>
        </is>
      </c>
      <c r="B1102" s="1" t="n">
        <v>45958.67776620371</v>
      </c>
      <c r="C1102" s="1" t="n">
        <v>46046</v>
      </c>
      <c r="D1102" t="inlineStr">
        <is>
          <t>JÄMTLANDS LÄN</t>
        </is>
      </c>
      <c r="E1102" t="inlineStr">
        <is>
          <t>HÄRJEDALEN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51931-2025</t>
        </is>
      </c>
      <c r="B1103" s="1" t="n">
        <v>45952</v>
      </c>
      <c r="C1103" s="1" t="n">
        <v>46046</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53613-2025</t>
        </is>
      </c>
      <c r="B1104" s="1" t="n">
        <v>45960.47413194444</v>
      </c>
      <c r="C1104" s="1" t="n">
        <v>46046</v>
      </c>
      <c r="D1104" t="inlineStr">
        <is>
          <t>JÄMTLANDS LÄN</t>
        </is>
      </c>
      <c r="E1104" t="inlineStr">
        <is>
          <t>HÄRJEDALEN</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53992-2025</t>
        </is>
      </c>
      <c r="B1105" s="1" t="n">
        <v>45961.58226851852</v>
      </c>
      <c r="C1105" s="1" t="n">
        <v>46046</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53631-2025</t>
        </is>
      </c>
      <c r="B1106" s="1" t="n">
        <v>45960.49898148148</v>
      </c>
      <c r="C1106" s="1" t="n">
        <v>46046</v>
      </c>
      <c r="D1106" t="inlineStr">
        <is>
          <t>JÄMTLANDS LÄN</t>
        </is>
      </c>
      <c r="E1106" t="inlineStr">
        <is>
          <t>HÄRJEDALEN</t>
        </is>
      </c>
      <c r="F1106" t="inlineStr">
        <is>
          <t>Bergvik skog väst AB</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53980-2025</t>
        </is>
      </c>
      <c r="B1107" s="1" t="n">
        <v>45961.56611111111</v>
      </c>
      <c r="C1107" s="1" t="n">
        <v>46046</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1665-2025</t>
        </is>
      </c>
      <c r="B1108" s="1" t="n">
        <v>45670</v>
      </c>
      <c r="C1108" s="1" t="n">
        <v>46046</v>
      </c>
      <c r="D1108" t="inlineStr">
        <is>
          <t>JÄMTLANDS LÄN</t>
        </is>
      </c>
      <c r="E1108" t="inlineStr">
        <is>
          <t>HÄRJEDALEN</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12747-2025</t>
        </is>
      </c>
      <c r="B1109" s="1" t="n">
        <v>45733</v>
      </c>
      <c r="C1109" s="1" t="n">
        <v>46046</v>
      </c>
      <c r="D1109" t="inlineStr">
        <is>
          <t>JÄMTLANDS LÄN</t>
        </is>
      </c>
      <c r="E1109" t="inlineStr">
        <is>
          <t>HÄRJEDALEN</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46046</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53523-2025</t>
        </is>
      </c>
      <c r="B1111" s="1" t="n">
        <v>45960.36037037037</v>
      </c>
      <c r="C1111" s="1" t="n">
        <v>46046</v>
      </c>
      <c r="D1111" t="inlineStr">
        <is>
          <t>JÄMTLANDS LÄN</t>
        </is>
      </c>
      <c r="E1111" t="inlineStr">
        <is>
          <t>HÄRJEDALEN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41146-2021</t>
        </is>
      </c>
      <c r="B1112" s="1" t="n">
        <v>44423</v>
      </c>
      <c r="C1112" s="1" t="n">
        <v>46046</v>
      </c>
      <c r="D1112" t="inlineStr">
        <is>
          <t>JÄMTLANDS LÄN</t>
        </is>
      </c>
      <c r="E1112" t="inlineStr">
        <is>
          <t>HÄRJEDALEN</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41146-2021</t>
        </is>
      </c>
      <c r="B1113" s="1" t="n">
        <v>44423</v>
      </c>
      <c r="C1113" s="1" t="n">
        <v>46046</v>
      </c>
      <c r="D1113" t="inlineStr">
        <is>
          <t>JÄMTLANDS LÄN</t>
        </is>
      </c>
      <c r="E1113" t="inlineStr">
        <is>
          <t>HÄRJEDALEN</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54661-2022</t>
        </is>
      </c>
      <c r="B1114" s="1" t="n">
        <v>44883</v>
      </c>
      <c r="C1114" s="1" t="n">
        <v>46046</v>
      </c>
      <c r="D1114" t="inlineStr">
        <is>
          <t>JÄMTLANDS LÄN</t>
        </is>
      </c>
      <c r="E1114" t="inlineStr">
        <is>
          <t>HÄRJEDALEN</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54476-2025</t>
        </is>
      </c>
      <c r="B1115" s="1" t="n">
        <v>45965.57791666667</v>
      </c>
      <c r="C1115" s="1" t="n">
        <v>46046</v>
      </c>
      <c r="D1115" t="inlineStr">
        <is>
          <t>JÄMTLANDS LÄN</t>
        </is>
      </c>
      <c r="E1115" t="inlineStr">
        <is>
          <t>HÄRJEDALEN</t>
        </is>
      </c>
      <c r="F1115" t="inlineStr">
        <is>
          <t>Bergvik skog väst AB</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62075-2025</t>
        </is>
      </c>
      <c r="B1116" s="1" t="n">
        <v>46006.36488425926</v>
      </c>
      <c r="C1116" s="1" t="n">
        <v>46046</v>
      </c>
      <c r="D1116" t="inlineStr">
        <is>
          <t>JÄMTLANDS LÄN</t>
        </is>
      </c>
      <c r="E1116" t="inlineStr">
        <is>
          <t>HÄRJEDALEN</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62234-2025</t>
        </is>
      </c>
      <c r="B1117" s="1" t="n">
        <v>46006.59444444445</v>
      </c>
      <c r="C1117" s="1" t="n">
        <v>46046</v>
      </c>
      <c r="D1117" t="inlineStr">
        <is>
          <t>JÄMTLANDS LÄN</t>
        </is>
      </c>
      <c r="E1117" t="inlineStr">
        <is>
          <t>HÄRJEDALEN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62451-2025</t>
        </is>
      </c>
      <c r="B1118" s="1" t="n">
        <v>46007.48997685185</v>
      </c>
      <c r="C1118" s="1" t="n">
        <v>46046</v>
      </c>
      <c r="D1118" t="inlineStr">
        <is>
          <t>JÄMTLANDS LÄN</t>
        </is>
      </c>
      <c r="E1118" t="inlineStr">
        <is>
          <t>HÄRJEDALEN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62531-2025</t>
        </is>
      </c>
      <c r="B1119" s="1" t="n">
        <v>46007.63625</v>
      </c>
      <c r="C1119" s="1" t="n">
        <v>46046</v>
      </c>
      <c r="D1119" t="inlineStr">
        <is>
          <t>JÄMTLANDS LÄN</t>
        </is>
      </c>
      <c r="E1119" t="inlineStr">
        <is>
          <t>HÄRJEDALEN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54354-2025</t>
        </is>
      </c>
      <c r="B1120" s="1" t="n">
        <v>45965.37909722222</v>
      </c>
      <c r="C1120" s="1" t="n">
        <v>46046</v>
      </c>
      <c r="D1120" t="inlineStr">
        <is>
          <t>JÄMTLANDS LÄN</t>
        </is>
      </c>
      <c r="E1120" t="inlineStr">
        <is>
          <t>HÄRJEDALEN</t>
        </is>
      </c>
      <c r="F1120" t="inlineStr">
        <is>
          <t>Bergvik skog väst AB</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35076-2025</t>
        </is>
      </c>
      <c r="B1121" s="1" t="n">
        <v>45852.48290509259</v>
      </c>
      <c r="C1121" s="1" t="n">
        <v>46046</v>
      </c>
      <c r="D1121" t="inlineStr">
        <is>
          <t>JÄMTLANDS LÄN</t>
        </is>
      </c>
      <c r="E1121" t="inlineStr">
        <is>
          <t>HÄRJEDALEN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34181-2025</t>
        </is>
      </c>
      <c r="B1122" s="1" t="n">
        <v>45845</v>
      </c>
      <c r="C1122" s="1" t="n">
        <v>46046</v>
      </c>
      <c r="D1122" t="inlineStr">
        <is>
          <t>JÄMTLANDS LÄN</t>
        </is>
      </c>
      <c r="E1122" t="inlineStr">
        <is>
          <t>HÄRJEDALEN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62450-2025</t>
        </is>
      </c>
      <c r="B1123" s="1" t="n">
        <v>46007.48996527777</v>
      </c>
      <c r="C1123" s="1" t="n">
        <v>46046</v>
      </c>
      <c r="D1123" t="inlineStr">
        <is>
          <t>JÄMTLANDS LÄN</t>
        </is>
      </c>
      <c r="E1123" t="inlineStr">
        <is>
          <t>HÄRJEDALEN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54358-2025</t>
        </is>
      </c>
      <c r="B1124" s="1" t="n">
        <v>45965.38599537037</v>
      </c>
      <c r="C1124" s="1" t="n">
        <v>46046</v>
      </c>
      <c r="D1124" t="inlineStr">
        <is>
          <t>JÄMTLANDS LÄN</t>
        </is>
      </c>
      <c r="E1124" t="inlineStr">
        <is>
          <t>HÄRJEDALEN</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62170-2025</t>
        </is>
      </c>
      <c r="B1125" s="1" t="n">
        <v>46006.51112268519</v>
      </c>
      <c r="C1125" s="1" t="n">
        <v>46046</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62171-2025</t>
        </is>
      </c>
      <c r="B1126" s="1" t="n">
        <v>46006.51116898148</v>
      </c>
      <c r="C1126" s="1" t="n">
        <v>46046</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54336-2025</t>
        </is>
      </c>
      <c r="B1127" s="1" t="n">
        <v>45965.35207175926</v>
      </c>
      <c r="C1127" s="1" t="n">
        <v>46046</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62528-2025</t>
        </is>
      </c>
      <c r="B1128" s="1" t="n">
        <v>46007.63605324074</v>
      </c>
      <c r="C1128" s="1" t="n">
        <v>46046</v>
      </c>
      <c r="D1128" t="inlineStr">
        <is>
          <t>JÄMTLANDS LÄN</t>
        </is>
      </c>
      <c r="E1128" t="inlineStr">
        <is>
          <t>HÄRJEDALEN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62932-2025</t>
        </is>
      </c>
      <c r="B1129" s="1" t="n">
        <v>46009.4019675926</v>
      </c>
      <c r="C1129" s="1" t="n">
        <v>46046</v>
      </c>
      <c r="D1129" t="inlineStr">
        <is>
          <t>JÄMTLANDS LÄN</t>
        </is>
      </c>
      <c r="E1129" t="inlineStr">
        <is>
          <t>HÄRJEDALEN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54764-2025</t>
        </is>
      </c>
      <c r="B1130" s="1" t="n">
        <v>45966.60278935185</v>
      </c>
      <c r="C1130" s="1" t="n">
        <v>46046</v>
      </c>
      <c r="D1130" t="inlineStr">
        <is>
          <t>JÄMTLANDS LÄN</t>
        </is>
      </c>
      <c r="E1130" t="inlineStr">
        <is>
          <t>HÄRJEDALEN</t>
        </is>
      </c>
      <c r="F1130" t="inlineStr">
        <is>
          <t>Bergvik skog väst AB</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62924-2025</t>
        </is>
      </c>
      <c r="B1131" s="1" t="n">
        <v>46009.38528935185</v>
      </c>
      <c r="C1131" s="1" t="n">
        <v>46046</v>
      </c>
      <c r="D1131" t="inlineStr">
        <is>
          <t>JÄMTLANDS LÄN</t>
        </is>
      </c>
      <c r="E1131" t="inlineStr">
        <is>
          <t>HÄRJEDALEN</t>
        </is>
      </c>
      <c r="F1131" t="inlineStr">
        <is>
          <t>Bergvik skog väst AB</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55034-2025</t>
        </is>
      </c>
      <c r="B1132" s="1" t="n">
        <v>45967.64570601852</v>
      </c>
      <c r="C1132" s="1" t="n">
        <v>46046</v>
      </c>
      <c r="D1132" t="inlineStr">
        <is>
          <t>JÄMTLANDS LÄN</t>
        </is>
      </c>
      <c r="E1132" t="inlineStr">
        <is>
          <t>HÄRJEDALEN</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55465-2025</t>
        </is>
      </c>
      <c r="B1133" s="1" t="n">
        <v>45971.52674768519</v>
      </c>
      <c r="C1133" s="1" t="n">
        <v>46046</v>
      </c>
      <c r="D1133" t="inlineStr">
        <is>
          <t>JÄMTLANDS LÄN</t>
        </is>
      </c>
      <c r="E1133" t="inlineStr">
        <is>
          <t>HÄRJEDALEN</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55362-2025</t>
        </is>
      </c>
      <c r="B1134" s="1" t="n">
        <v>45971.39665509259</v>
      </c>
      <c r="C1134" s="1" t="n">
        <v>46046</v>
      </c>
      <c r="D1134" t="inlineStr">
        <is>
          <t>JÄMTLANDS LÄN</t>
        </is>
      </c>
      <c r="E1134" t="inlineStr">
        <is>
          <t>HÄRJEDALEN</t>
        </is>
      </c>
      <c r="F1134" t="inlineStr">
        <is>
          <t>Bergvik skog väst AB</t>
        </is>
      </c>
      <c r="G1134" t="n">
        <v>15.2</v>
      </c>
      <c r="H1134" t="n">
        <v>0</v>
      </c>
      <c r="I1134" t="n">
        <v>0</v>
      </c>
      <c r="J1134" t="n">
        <v>0</v>
      </c>
      <c r="K1134" t="n">
        <v>0</v>
      </c>
      <c r="L1134" t="n">
        <v>0</v>
      </c>
      <c r="M1134" t="n">
        <v>0</v>
      </c>
      <c r="N1134" t="n">
        <v>0</v>
      </c>
      <c r="O1134" t="n">
        <v>0</v>
      </c>
      <c r="P1134" t="n">
        <v>0</v>
      </c>
      <c r="Q1134" t="n">
        <v>0</v>
      </c>
      <c r="R1134" s="2" t="inlineStr"/>
    </row>
    <row r="1135" ht="15" customHeight="1">
      <c r="A1135" t="inlineStr">
        <is>
          <t>A 55339-2025</t>
        </is>
      </c>
      <c r="B1135" s="1" t="n">
        <v>45971.34488425926</v>
      </c>
      <c r="C1135" s="1" t="n">
        <v>46046</v>
      </c>
      <c r="D1135" t="inlineStr">
        <is>
          <t>JÄMTLANDS LÄN</t>
        </is>
      </c>
      <c r="E1135" t="inlineStr">
        <is>
          <t>HÄRJEDALEN</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55680-2025</t>
        </is>
      </c>
      <c r="B1136" s="1" t="n">
        <v>45972</v>
      </c>
      <c r="C1136" s="1" t="n">
        <v>46046</v>
      </c>
      <c r="D1136" t="inlineStr">
        <is>
          <t>JÄMTLANDS LÄN</t>
        </is>
      </c>
      <c r="E1136" t="inlineStr">
        <is>
          <t>HÄRJEDALEN</t>
        </is>
      </c>
      <c r="F1136" t="inlineStr">
        <is>
          <t>Bergvik skog väst AB</t>
        </is>
      </c>
      <c r="G1136" t="n">
        <v>15.1</v>
      </c>
      <c r="H1136" t="n">
        <v>0</v>
      </c>
      <c r="I1136" t="n">
        <v>0</v>
      </c>
      <c r="J1136" t="n">
        <v>0</v>
      </c>
      <c r="K1136" t="n">
        <v>0</v>
      </c>
      <c r="L1136" t="n">
        <v>0</v>
      </c>
      <c r="M1136" t="n">
        <v>0</v>
      </c>
      <c r="N1136" t="n">
        <v>0</v>
      </c>
      <c r="O1136" t="n">
        <v>0</v>
      </c>
      <c r="P1136" t="n">
        <v>0</v>
      </c>
      <c r="Q1136" t="n">
        <v>0</v>
      </c>
      <c r="R1136" s="2" t="inlineStr"/>
    </row>
    <row r="1137" ht="15" customHeight="1">
      <c r="A1137" t="inlineStr">
        <is>
          <t>A 55640-2025</t>
        </is>
      </c>
      <c r="B1137" s="1" t="n">
        <v>45972.34667824074</v>
      </c>
      <c r="C1137" s="1" t="n">
        <v>46046</v>
      </c>
      <c r="D1137" t="inlineStr">
        <is>
          <t>JÄMTLANDS LÄN</t>
        </is>
      </c>
      <c r="E1137" t="inlineStr">
        <is>
          <t>HÄRJEDALEN</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55758-2025</t>
        </is>
      </c>
      <c r="B1138" s="1" t="n">
        <v>45972.59815972222</v>
      </c>
      <c r="C1138" s="1" t="n">
        <v>46046</v>
      </c>
      <c r="D1138" t="inlineStr">
        <is>
          <t>JÄMTLANDS LÄN</t>
        </is>
      </c>
      <c r="E1138" t="inlineStr">
        <is>
          <t>HÄRJEDALEN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55890-2025</t>
        </is>
      </c>
      <c r="B1139" s="1" t="n">
        <v>45973.3788425926</v>
      </c>
      <c r="C1139" s="1" t="n">
        <v>46046</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55940-2025</t>
        </is>
      </c>
      <c r="B1140" s="1" t="n">
        <v>45973.45135416667</v>
      </c>
      <c r="C1140" s="1" t="n">
        <v>46046</v>
      </c>
      <c r="D1140" t="inlineStr">
        <is>
          <t>JÄMTLANDS LÄN</t>
        </is>
      </c>
      <c r="E1140" t="inlineStr">
        <is>
          <t>HÄRJEDALEN</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63648-2025</t>
        </is>
      </c>
      <c r="B1141" s="1" t="n">
        <v>46014.43386574074</v>
      </c>
      <c r="C1141" s="1" t="n">
        <v>46046</v>
      </c>
      <c r="D1141" t="inlineStr">
        <is>
          <t>JÄMTLANDS LÄN</t>
        </is>
      </c>
      <c r="E1141" t="inlineStr">
        <is>
          <t>HÄRJEDALEN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55715-2025</t>
        </is>
      </c>
      <c r="B1142" s="1" t="n">
        <v>45972.49532407407</v>
      </c>
      <c r="C1142" s="1" t="n">
        <v>46046</v>
      </c>
      <c r="D1142" t="inlineStr">
        <is>
          <t>JÄMTLANDS LÄN</t>
        </is>
      </c>
      <c r="E1142" t="inlineStr">
        <is>
          <t>HÄRJEDALEN</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63708-2025</t>
        </is>
      </c>
      <c r="B1143" s="1" t="n">
        <v>46014.61556712963</v>
      </c>
      <c r="C1143" s="1" t="n">
        <v>46046</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63706-2025</t>
        </is>
      </c>
      <c r="B1144" s="1" t="n">
        <v>46014.61186342593</v>
      </c>
      <c r="C1144" s="1" t="n">
        <v>46046</v>
      </c>
      <c r="D1144" t="inlineStr">
        <is>
          <t>JÄMTLANDS LÄN</t>
        </is>
      </c>
      <c r="E1144" t="inlineStr">
        <is>
          <t>HÄRJEDALEN</t>
        </is>
      </c>
      <c r="G1144" t="n">
        <v>13.7</v>
      </c>
      <c r="H1144" t="n">
        <v>0</v>
      </c>
      <c r="I1144" t="n">
        <v>0</v>
      </c>
      <c r="J1144" t="n">
        <v>0</v>
      </c>
      <c r="K1144" t="n">
        <v>0</v>
      </c>
      <c r="L1144" t="n">
        <v>0</v>
      </c>
      <c r="M1144" t="n">
        <v>0</v>
      </c>
      <c r="N1144" t="n">
        <v>0</v>
      </c>
      <c r="O1144" t="n">
        <v>0</v>
      </c>
      <c r="P1144" t="n">
        <v>0</v>
      </c>
      <c r="Q1144" t="n">
        <v>0</v>
      </c>
      <c r="R1144" s="2" t="inlineStr"/>
      <c r="U1144">
        <f>HYPERLINK("https://klasma.github.io/Logging_2361/knärot/A 63706-2025 karta knärot.png", "A 63706-2025")</f>
        <v/>
      </c>
      <c r="V1144">
        <f>HYPERLINK("https://klasma.github.io/Logging_2361/klagomål/A 63706-2025 FSC-klagomål.docx", "A 63706-2025")</f>
        <v/>
      </c>
      <c r="W1144">
        <f>HYPERLINK("https://klasma.github.io/Logging_2361/klagomålsmail/A 63706-2025 FSC-klagomål mail.docx", "A 63706-2025")</f>
        <v/>
      </c>
      <c r="X1144">
        <f>HYPERLINK("https://klasma.github.io/Logging_2361/tillsyn/A 63706-2025 tillsynsbegäran.docx", "A 63706-2025")</f>
        <v/>
      </c>
      <c r="Y1144">
        <f>HYPERLINK("https://klasma.github.io/Logging_2361/tillsynsmail/A 63706-2025 tillsynsbegäran mail.docx", "A 63706-2025")</f>
        <v/>
      </c>
    </row>
    <row r="1145" ht="15" customHeight="1">
      <c r="A1145" t="inlineStr">
        <is>
          <t>A 55965-2025</t>
        </is>
      </c>
      <c r="B1145" s="1" t="n">
        <v>45973.48260416667</v>
      </c>
      <c r="C1145" s="1" t="n">
        <v>46046</v>
      </c>
      <c r="D1145" t="inlineStr">
        <is>
          <t>JÄMTLANDS LÄN</t>
        </is>
      </c>
      <c r="E1145" t="inlineStr">
        <is>
          <t>HÄRJEDALEN</t>
        </is>
      </c>
      <c r="F1145" t="inlineStr">
        <is>
          <t>Holmen skog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55852-2025</t>
        </is>
      </c>
      <c r="B1146" s="1" t="n">
        <v>45973</v>
      </c>
      <c r="C1146" s="1" t="n">
        <v>46046</v>
      </c>
      <c r="D1146" t="inlineStr">
        <is>
          <t>JÄMTLANDS LÄN</t>
        </is>
      </c>
      <c r="E1146" t="inlineStr">
        <is>
          <t>HÄRJEDALEN</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55761-2025</t>
        </is>
      </c>
      <c r="B1147" s="1" t="n">
        <v>45972.60201388889</v>
      </c>
      <c r="C1147" s="1" t="n">
        <v>46046</v>
      </c>
      <c r="D1147" t="inlineStr">
        <is>
          <t>JÄMTLANDS LÄN</t>
        </is>
      </c>
      <c r="E1147" t="inlineStr">
        <is>
          <t>HÄRJEDALEN</t>
        </is>
      </c>
      <c r="F1147" t="inlineStr">
        <is>
          <t>Bergvik skog väst AB</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55877-2025</t>
        </is>
      </c>
      <c r="B1148" s="1" t="n">
        <v>45973.36349537037</v>
      </c>
      <c r="C1148" s="1" t="n">
        <v>46046</v>
      </c>
      <c r="D1148" t="inlineStr">
        <is>
          <t>JÄMTLANDS LÄN</t>
        </is>
      </c>
      <c r="E1148" t="inlineStr">
        <is>
          <t>HÄRJEDALEN</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63695-2025</t>
        </is>
      </c>
      <c r="B1149" s="1" t="n">
        <v>46014.56574074074</v>
      </c>
      <c r="C1149" s="1" t="n">
        <v>46046</v>
      </c>
      <c r="D1149" t="inlineStr">
        <is>
          <t>JÄMTLANDS LÄN</t>
        </is>
      </c>
      <c r="E1149" t="inlineStr">
        <is>
          <t>HÄRJEDALEN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56451-2025</t>
        </is>
      </c>
      <c r="B1150" s="1" t="n">
        <v>45975.3537037037</v>
      </c>
      <c r="C1150" s="1" t="n">
        <v>46046</v>
      </c>
      <c r="D1150" t="inlineStr">
        <is>
          <t>JÄMTLANDS LÄN</t>
        </is>
      </c>
      <c r="E1150" t="inlineStr">
        <is>
          <t>HÄRJEDALEN</t>
        </is>
      </c>
      <c r="F1150" t="inlineStr">
        <is>
          <t>Bergvik skog väst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56213-2025</t>
        </is>
      </c>
      <c r="B1151" s="1" t="n">
        <v>45974.47983796296</v>
      </c>
      <c r="C1151" s="1" t="n">
        <v>46046</v>
      </c>
      <c r="D1151" t="inlineStr">
        <is>
          <t>JÄMTLANDS LÄN</t>
        </is>
      </c>
      <c r="E1151" t="inlineStr">
        <is>
          <t>HÄRJEDALEN</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56134-2025</t>
        </is>
      </c>
      <c r="B1152" s="1" t="n">
        <v>45974</v>
      </c>
      <c r="C1152" s="1" t="n">
        <v>46046</v>
      </c>
      <c r="D1152" t="inlineStr">
        <is>
          <t>JÄMTLANDS LÄN</t>
        </is>
      </c>
      <c r="E1152" t="inlineStr">
        <is>
          <t>HÄRJEDALEN</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56197-2025</t>
        </is>
      </c>
      <c r="B1153" s="1" t="n">
        <v>45974.45393518519</v>
      </c>
      <c r="C1153" s="1" t="n">
        <v>46046</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56646-2025</t>
        </is>
      </c>
      <c r="B1154" s="1" t="n">
        <v>45975.634375</v>
      </c>
      <c r="C1154" s="1" t="n">
        <v>46046</v>
      </c>
      <c r="D1154" t="inlineStr">
        <is>
          <t>JÄMTLANDS LÄN</t>
        </is>
      </c>
      <c r="E1154" t="inlineStr">
        <is>
          <t>HÄRJEDALEN</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56176-2025</t>
        </is>
      </c>
      <c r="B1155" s="1" t="n">
        <v>45974.39936342592</v>
      </c>
      <c r="C1155" s="1" t="n">
        <v>46046</v>
      </c>
      <c r="D1155" t="inlineStr">
        <is>
          <t>JÄMTLANDS LÄN</t>
        </is>
      </c>
      <c r="E1155" t="inlineStr">
        <is>
          <t>HÄRJEDALEN</t>
        </is>
      </c>
      <c r="F1155" t="inlineStr">
        <is>
          <t>Bergvik skog väst AB</t>
        </is>
      </c>
      <c r="G1155" t="n">
        <v>15.7</v>
      </c>
      <c r="H1155" t="n">
        <v>0</v>
      </c>
      <c r="I1155" t="n">
        <v>0</v>
      </c>
      <c r="J1155" t="n">
        <v>0</v>
      </c>
      <c r="K1155" t="n">
        <v>0</v>
      </c>
      <c r="L1155" t="n">
        <v>0</v>
      </c>
      <c r="M1155" t="n">
        <v>0</v>
      </c>
      <c r="N1155" t="n">
        <v>0</v>
      </c>
      <c r="O1155" t="n">
        <v>0</v>
      </c>
      <c r="P1155" t="n">
        <v>0</v>
      </c>
      <c r="Q1155" t="n">
        <v>0</v>
      </c>
      <c r="R1155" s="2" t="inlineStr"/>
    </row>
    <row r="1156" ht="15" customHeight="1">
      <c r="A1156" t="inlineStr">
        <is>
          <t>A 56595-2025</t>
        </is>
      </c>
      <c r="B1156" s="1" t="n">
        <v>45975.56932870371</v>
      </c>
      <c r="C1156" s="1" t="n">
        <v>46046</v>
      </c>
      <c r="D1156" t="inlineStr">
        <is>
          <t>JÄMTLANDS LÄN</t>
        </is>
      </c>
      <c r="E1156" t="inlineStr">
        <is>
          <t>HÄRJEDALEN</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56452-2025</t>
        </is>
      </c>
      <c r="B1157" s="1" t="n">
        <v>45975.35422453703</v>
      </c>
      <c r="C1157" s="1" t="n">
        <v>46046</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56868-2025</t>
        </is>
      </c>
      <c r="B1158" s="1" t="n">
        <v>45978.5205324074</v>
      </c>
      <c r="C1158" s="1" t="n">
        <v>46046</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57070-2025</t>
        </is>
      </c>
      <c r="B1159" s="1" t="n">
        <v>45979.38703703704</v>
      </c>
      <c r="C1159" s="1" t="n">
        <v>46046</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57109-2025</t>
        </is>
      </c>
      <c r="B1160" s="1" t="n">
        <v>45979.45319444445</v>
      </c>
      <c r="C1160" s="1" t="n">
        <v>46046</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57015-2025</t>
        </is>
      </c>
      <c r="B1161" s="1" t="n">
        <v>45978.83375</v>
      </c>
      <c r="C1161" s="1" t="n">
        <v>46046</v>
      </c>
      <c r="D1161" t="inlineStr">
        <is>
          <t>JÄMTLANDS LÄN</t>
        </is>
      </c>
      <c r="E1161" t="inlineStr">
        <is>
          <t>HÄRJEDALEN</t>
        </is>
      </c>
      <c r="F1161" t="inlineStr">
        <is>
          <t>Bergvik skog väst AB</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57518-2025</t>
        </is>
      </c>
      <c r="B1162" s="1" t="n">
        <v>45979</v>
      </c>
      <c r="C1162" s="1" t="n">
        <v>46046</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57013-2025</t>
        </is>
      </c>
      <c r="B1163" s="1" t="n">
        <v>45978.82456018519</v>
      </c>
      <c r="C1163" s="1" t="n">
        <v>46046</v>
      </c>
      <c r="D1163" t="inlineStr">
        <is>
          <t>JÄMTLANDS LÄN</t>
        </is>
      </c>
      <c r="E1163" t="inlineStr">
        <is>
          <t>HÄRJEDALEN</t>
        </is>
      </c>
      <c r="F1163" t="inlineStr">
        <is>
          <t>Bergvik skog väst AB</t>
        </is>
      </c>
      <c r="G1163" t="n">
        <v>36.5</v>
      </c>
      <c r="H1163" t="n">
        <v>0</v>
      </c>
      <c r="I1163" t="n">
        <v>0</v>
      </c>
      <c r="J1163" t="n">
        <v>0</v>
      </c>
      <c r="K1163" t="n">
        <v>0</v>
      </c>
      <c r="L1163" t="n">
        <v>0</v>
      </c>
      <c r="M1163" t="n">
        <v>0</v>
      </c>
      <c r="N1163" t="n">
        <v>0</v>
      </c>
      <c r="O1163" t="n">
        <v>0</v>
      </c>
      <c r="P1163" t="n">
        <v>0</v>
      </c>
      <c r="Q1163" t="n">
        <v>0</v>
      </c>
      <c r="R1163" s="2" t="inlineStr"/>
    </row>
    <row r="1164" ht="15" customHeight="1">
      <c r="A1164" t="inlineStr">
        <is>
          <t>A 57068-2025</t>
        </is>
      </c>
      <c r="B1164" s="1" t="n">
        <v>45979.38599537037</v>
      </c>
      <c r="C1164" s="1" t="n">
        <v>46046</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57839-2025</t>
        </is>
      </c>
      <c r="B1165" s="1" t="n">
        <v>45981.62309027778</v>
      </c>
      <c r="C1165" s="1" t="n">
        <v>46046</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57868-2025</t>
        </is>
      </c>
      <c r="B1166" s="1" t="n">
        <v>45981.65143518519</v>
      </c>
      <c r="C1166" s="1" t="n">
        <v>46046</v>
      </c>
      <c r="D1166" t="inlineStr">
        <is>
          <t>JÄMTLANDS LÄN</t>
        </is>
      </c>
      <c r="E1166" t="inlineStr">
        <is>
          <t>HÄRJEDALEN</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58098-2025</t>
        </is>
      </c>
      <c r="B1167" s="1" t="n">
        <v>45982</v>
      </c>
      <c r="C1167" s="1" t="n">
        <v>46046</v>
      </c>
      <c r="D1167" t="inlineStr">
        <is>
          <t>JÄMTLANDS LÄN</t>
        </is>
      </c>
      <c r="E1167" t="inlineStr">
        <is>
          <t>HÄRJEDALEN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289-2026</t>
        </is>
      </c>
      <c r="B1168" s="1" t="n">
        <v>46027.49865740741</v>
      </c>
      <c r="C1168" s="1" t="n">
        <v>46046</v>
      </c>
      <c r="D1168" t="inlineStr">
        <is>
          <t>JÄMTLANDS LÄN</t>
        </is>
      </c>
      <c r="E1168" t="inlineStr">
        <is>
          <t>HÄRJEDALEN</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282-2026</t>
        </is>
      </c>
      <c r="B1169" s="1" t="n">
        <v>46027.48473379629</v>
      </c>
      <c r="C1169" s="1" t="n">
        <v>46046</v>
      </c>
      <c r="D1169" t="inlineStr">
        <is>
          <t>JÄMTLANDS LÄN</t>
        </is>
      </c>
      <c r="E1169" t="inlineStr">
        <is>
          <t>HÄRJEDALEN</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58024-2025</t>
        </is>
      </c>
      <c r="B1170" s="1" t="n">
        <v>45982.48206018518</v>
      </c>
      <c r="C1170" s="1" t="n">
        <v>46046</v>
      </c>
      <c r="D1170" t="inlineStr">
        <is>
          <t>JÄMTLANDS LÄN</t>
        </is>
      </c>
      <c r="E1170" t="inlineStr">
        <is>
          <t>HÄRJEDALEN</t>
        </is>
      </c>
      <c r="F1170" t="inlineStr">
        <is>
          <t>Bergvik skog väst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238-2026</t>
        </is>
      </c>
      <c r="B1171" s="1" t="n">
        <v>46027.36778935185</v>
      </c>
      <c r="C1171" s="1" t="n">
        <v>46046</v>
      </c>
      <c r="D1171" t="inlineStr">
        <is>
          <t>JÄMTLANDS LÄN</t>
        </is>
      </c>
      <c r="E1171" t="inlineStr">
        <is>
          <t>HÄRJEDALEN</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58081-2025</t>
        </is>
      </c>
      <c r="B1172" s="1" t="n">
        <v>45982.56142361111</v>
      </c>
      <c r="C1172" s="1" t="n">
        <v>46046</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58120-2025</t>
        </is>
      </c>
      <c r="B1173" s="1" t="n">
        <v>45982.60930555555</v>
      </c>
      <c r="C1173" s="1" t="n">
        <v>46046</v>
      </c>
      <c r="D1173" t="inlineStr">
        <is>
          <t>JÄMTLANDS LÄN</t>
        </is>
      </c>
      <c r="E1173" t="inlineStr">
        <is>
          <t>HÄRJEDALEN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58141-2025</t>
        </is>
      </c>
      <c r="B1174" s="1" t="n">
        <v>45982.63611111111</v>
      </c>
      <c r="C1174" s="1" t="n">
        <v>46046</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58116-2025</t>
        </is>
      </c>
      <c r="B1175" s="1" t="n">
        <v>45982</v>
      </c>
      <c r="C1175" s="1" t="n">
        <v>46046</v>
      </c>
      <c r="D1175" t="inlineStr">
        <is>
          <t>JÄMTLANDS LÄN</t>
        </is>
      </c>
      <c r="E1175" t="inlineStr">
        <is>
          <t>HÄRJEDALEN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279-2026</t>
        </is>
      </c>
      <c r="B1176" s="1" t="n">
        <v>46027.47453703704</v>
      </c>
      <c r="C1176" s="1" t="n">
        <v>46046</v>
      </c>
      <c r="D1176" t="inlineStr">
        <is>
          <t>JÄMTLANDS LÄN</t>
        </is>
      </c>
      <c r="E1176" t="inlineStr">
        <is>
          <t>HÄRJEDALEN</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280-2026</t>
        </is>
      </c>
      <c r="B1177" s="1" t="n">
        <v>46027.47597222222</v>
      </c>
      <c r="C1177" s="1" t="n">
        <v>46046</v>
      </c>
      <c r="D1177" t="inlineStr">
        <is>
          <t>JÄMTLANDS LÄN</t>
        </is>
      </c>
      <c r="E1177" t="inlineStr">
        <is>
          <t>HÄRJEDALEN</t>
        </is>
      </c>
      <c r="F1177" t="inlineStr">
        <is>
          <t>Holmen skog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58110-2025</t>
        </is>
      </c>
      <c r="B1178" s="1" t="n">
        <v>45982</v>
      </c>
      <c r="C1178" s="1" t="n">
        <v>46046</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58296-2025</t>
        </is>
      </c>
      <c r="B1179" s="1" t="n">
        <v>45985.45633101852</v>
      </c>
      <c r="C1179" s="1" t="n">
        <v>46046</v>
      </c>
      <c r="D1179" t="inlineStr">
        <is>
          <t>JÄMTLANDS LÄN</t>
        </is>
      </c>
      <c r="E1179" t="inlineStr">
        <is>
          <t>HÄRJEDALEN</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322-2026</t>
        </is>
      </c>
      <c r="B1180" s="1" t="n">
        <v>46027.58601851852</v>
      </c>
      <c r="C1180" s="1" t="n">
        <v>46046</v>
      </c>
      <c r="D1180" t="inlineStr">
        <is>
          <t>JÄMTLANDS LÄN</t>
        </is>
      </c>
      <c r="E1180" t="inlineStr">
        <is>
          <t>HÄRJEDALEN</t>
        </is>
      </c>
      <c r="F1180" t="inlineStr">
        <is>
          <t>Holmen skog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325-2026</t>
        </is>
      </c>
      <c r="B1181" s="1" t="n">
        <v>46027.5891087963</v>
      </c>
      <c r="C1181" s="1" t="n">
        <v>46046</v>
      </c>
      <c r="D1181" t="inlineStr">
        <is>
          <t>JÄMTLANDS LÄN</t>
        </is>
      </c>
      <c r="E1181" t="inlineStr">
        <is>
          <t>HÄRJEDALEN</t>
        </is>
      </c>
      <c r="F1181" t="inlineStr">
        <is>
          <t>Holmen skog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58431-2025</t>
        </is>
      </c>
      <c r="B1182" s="1" t="n">
        <v>45985.60621527778</v>
      </c>
      <c r="C1182" s="1" t="n">
        <v>46046</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63-2026</t>
        </is>
      </c>
      <c r="B1183" s="1" t="n">
        <v>46024.44586805555</v>
      </c>
      <c r="C1183" s="1" t="n">
        <v>46046</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58645-2025</t>
        </is>
      </c>
      <c r="B1184" s="1" t="n">
        <v>45986.49688657407</v>
      </c>
      <c r="C1184" s="1" t="n">
        <v>46046</v>
      </c>
      <c r="D1184" t="inlineStr">
        <is>
          <t>JÄMTLANDS LÄN</t>
        </is>
      </c>
      <c r="E1184" t="inlineStr">
        <is>
          <t>HÄRJEDALEN</t>
        </is>
      </c>
      <c r="F1184" t="inlineStr">
        <is>
          <t>Bergvik skog väst AB</t>
        </is>
      </c>
      <c r="G1184" t="n">
        <v>23.4</v>
      </c>
      <c r="H1184" t="n">
        <v>0</v>
      </c>
      <c r="I1184" t="n">
        <v>0</v>
      </c>
      <c r="J1184" t="n">
        <v>0</v>
      </c>
      <c r="K1184" t="n">
        <v>0</v>
      </c>
      <c r="L1184" t="n">
        <v>0</v>
      </c>
      <c r="M1184" t="n">
        <v>0</v>
      </c>
      <c r="N1184" t="n">
        <v>0</v>
      </c>
      <c r="O1184" t="n">
        <v>0</v>
      </c>
      <c r="P1184" t="n">
        <v>0</v>
      </c>
      <c r="Q1184" t="n">
        <v>0</v>
      </c>
      <c r="R1184" s="2" t="inlineStr"/>
    </row>
    <row r="1185" ht="15" customHeight="1">
      <c r="A1185" t="inlineStr">
        <is>
          <t>A 58723-2025</t>
        </is>
      </c>
      <c r="B1185" s="1" t="n">
        <v>45986.61724537037</v>
      </c>
      <c r="C1185" s="1" t="n">
        <v>46046</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55318-2024</t>
        </is>
      </c>
      <c r="B1186" s="1" t="n">
        <v>45621</v>
      </c>
      <c r="C1186" s="1" t="n">
        <v>46046</v>
      </c>
      <c r="D1186" t="inlineStr">
        <is>
          <t>JÄMTLANDS LÄN</t>
        </is>
      </c>
      <c r="E1186" t="inlineStr">
        <is>
          <t>HÄRJEDALEN</t>
        </is>
      </c>
      <c r="F1186" t="inlineStr">
        <is>
          <t>Bergvik skog väst AB</t>
        </is>
      </c>
      <c r="G1186" t="n">
        <v>136.1</v>
      </c>
      <c r="H1186" t="n">
        <v>0</v>
      </c>
      <c r="I1186" t="n">
        <v>0</v>
      </c>
      <c r="J1186" t="n">
        <v>0</v>
      </c>
      <c r="K1186" t="n">
        <v>0</v>
      </c>
      <c r="L1186" t="n">
        <v>0</v>
      </c>
      <c r="M1186" t="n">
        <v>0</v>
      </c>
      <c r="N1186" t="n">
        <v>0</v>
      </c>
      <c r="O1186" t="n">
        <v>0</v>
      </c>
      <c r="P1186" t="n">
        <v>0</v>
      </c>
      <c r="Q1186" t="n">
        <v>0</v>
      </c>
      <c r="R1186" s="2" t="inlineStr"/>
    </row>
    <row r="1187" ht="15" customHeight="1">
      <c r="A1187" t="inlineStr">
        <is>
          <t>A 58539-2025</t>
        </is>
      </c>
      <c r="B1187" s="1" t="n">
        <v>45985.89577546297</v>
      </c>
      <c r="C1187" s="1" t="n">
        <v>46046</v>
      </c>
      <c r="D1187" t="inlineStr">
        <is>
          <t>JÄMTLANDS LÄN</t>
        </is>
      </c>
      <c r="E1187" t="inlineStr">
        <is>
          <t>HÄRJEDALEN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58716-2025</t>
        </is>
      </c>
      <c r="B1188" s="1" t="n">
        <v>45986.61413194444</v>
      </c>
      <c r="C1188" s="1" t="n">
        <v>46046</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58602-2025</t>
        </is>
      </c>
      <c r="B1189" s="1" t="n">
        <v>45986.42805555555</v>
      </c>
      <c r="C1189" s="1" t="n">
        <v>46046</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58865-2025</t>
        </is>
      </c>
      <c r="B1190" s="1" t="n">
        <v>45987.44751157407</v>
      </c>
      <c r="C1190" s="1" t="n">
        <v>46046</v>
      </c>
      <c r="D1190" t="inlineStr">
        <is>
          <t>JÄMTLANDS LÄN</t>
        </is>
      </c>
      <c r="E1190" t="inlineStr">
        <is>
          <t>HÄRJEDALEN</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58607-2025</t>
        </is>
      </c>
      <c r="B1191" s="1" t="n">
        <v>45986.44212962963</v>
      </c>
      <c r="C1191" s="1" t="n">
        <v>46046</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468-2026</t>
        </is>
      </c>
      <c r="B1192" s="1" t="n">
        <v>46029.38601851852</v>
      </c>
      <c r="C1192" s="1" t="n">
        <v>46046</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58694-2025</t>
        </is>
      </c>
      <c r="B1193" s="1" t="n">
        <v>45986.585</v>
      </c>
      <c r="C1193" s="1" t="n">
        <v>46046</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59116-2025</t>
        </is>
      </c>
      <c r="B1194" s="1" t="n">
        <v>45988.49009259259</v>
      </c>
      <c r="C1194" s="1" t="n">
        <v>46046</v>
      </c>
      <c r="D1194" t="inlineStr">
        <is>
          <t>JÄMTLANDS LÄN</t>
        </is>
      </c>
      <c r="E1194" t="inlineStr">
        <is>
          <t>HÄRJEDALEN</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59118-2025</t>
        </is>
      </c>
      <c r="B1195" s="1" t="n">
        <v>45988.49023148148</v>
      </c>
      <c r="C1195" s="1" t="n">
        <v>46046</v>
      </c>
      <c r="D1195" t="inlineStr">
        <is>
          <t>JÄMTLANDS LÄN</t>
        </is>
      </c>
      <c r="E1195" t="inlineStr">
        <is>
          <t>HÄRJEDALEN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43591-2024</t>
        </is>
      </c>
      <c r="B1196" s="1" t="n">
        <v>45569</v>
      </c>
      <c r="C1196" s="1" t="n">
        <v>46046</v>
      </c>
      <c r="D1196" t="inlineStr">
        <is>
          <t>JÄMTLANDS LÄN</t>
        </is>
      </c>
      <c r="E1196" t="inlineStr">
        <is>
          <t>HÄRJEDALEN</t>
        </is>
      </c>
      <c r="F1196" t="inlineStr">
        <is>
          <t>Bergvik skog väst AB</t>
        </is>
      </c>
      <c r="G1196" t="n">
        <v>50.5</v>
      </c>
      <c r="H1196" t="n">
        <v>0</v>
      </c>
      <c r="I1196" t="n">
        <v>0</v>
      </c>
      <c r="J1196" t="n">
        <v>0</v>
      </c>
      <c r="K1196" t="n">
        <v>0</v>
      </c>
      <c r="L1196" t="n">
        <v>0</v>
      </c>
      <c r="M1196" t="n">
        <v>0</v>
      </c>
      <c r="N1196" t="n">
        <v>0</v>
      </c>
      <c r="O1196" t="n">
        <v>0</v>
      </c>
      <c r="P1196" t="n">
        <v>0</v>
      </c>
      <c r="Q1196" t="n">
        <v>0</v>
      </c>
      <c r="R1196" s="2" t="inlineStr"/>
    </row>
    <row r="1197" ht="15" customHeight="1">
      <c r="A1197" t="inlineStr">
        <is>
          <t>A 59496-2025</t>
        </is>
      </c>
      <c r="B1197" s="1" t="n">
        <v>45989.61563657408</v>
      </c>
      <c r="C1197" s="1" t="n">
        <v>46046</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59507-2025</t>
        </is>
      </c>
      <c r="B1198" s="1" t="n">
        <v>45989.64166666667</v>
      </c>
      <c r="C1198" s="1" t="n">
        <v>46046</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59321-2025</t>
        </is>
      </c>
      <c r="B1199" s="1" t="n">
        <v>45988</v>
      </c>
      <c r="C1199" s="1" t="n">
        <v>46046</v>
      </c>
      <c r="D1199" t="inlineStr">
        <is>
          <t>JÄMTLANDS LÄN</t>
        </is>
      </c>
      <c r="E1199" t="inlineStr">
        <is>
          <t>HÄRJEDALEN</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29766-2024</t>
        </is>
      </c>
      <c r="B1200" s="1" t="n">
        <v>45485</v>
      </c>
      <c r="C1200" s="1" t="n">
        <v>46046</v>
      </c>
      <c r="D1200" t="inlineStr">
        <is>
          <t>JÄMTLANDS LÄN</t>
        </is>
      </c>
      <c r="E1200" t="inlineStr">
        <is>
          <t>HÄRJEDALEN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54502-2024</t>
        </is>
      </c>
      <c r="B1201" s="1" t="n">
        <v>45617</v>
      </c>
      <c r="C1201" s="1" t="n">
        <v>46046</v>
      </c>
      <c r="D1201" t="inlineStr">
        <is>
          <t>JÄMTLANDS LÄN</t>
        </is>
      </c>
      <c r="E1201" t="inlineStr">
        <is>
          <t>HÄRJEDALEN</t>
        </is>
      </c>
      <c r="F1201" t="inlineStr">
        <is>
          <t>Holmen skog AB</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59470-2025</t>
        </is>
      </c>
      <c r="B1202" s="1" t="n">
        <v>45989.58270833334</v>
      </c>
      <c r="C1202" s="1" t="n">
        <v>46046</v>
      </c>
      <c r="D1202" t="inlineStr">
        <is>
          <t>JÄMTLANDS LÄN</t>
        </is>
      </c>
      <c r="E1202" t="inlineStr">
        <is>
          <t>HÄRJEDALEN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59480-2025</t>
        </is>
      </c>
      <c r="B1203" s="1" t="n">
        <v>45989.58947916667</v>
      </c>
      <c r="C1203" s="1" t="n">
        <v>46046</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1196-2026</t>
        </is>
      </c>
      <c r="B1204" s="1" t="n">
        <v>46031.3709837963</v>
      </c>
      <c r="C1204" s="1" t="n">
        <v>46046</v>
      </c>
      <c r="D1204" t="inlineStr">
        <is>
          <t>JÄMTLANDS LÄN</t>
        </is>
      </c>
      <c r="E1204" t="inlineStr">
        <is>
          <t>HÄRJEDALEN</t>
        </is>
      </c>
      <c r="G1204" t="n">
        <v>16.1</v>
      </c>
      <c r="H1204" t="n">
        <v>0</v>
      </c>
      <c r="I1204" t="n">
        <v>0</v>
      </c>
      <c r="J1204" t="n">
        <v>0</v>
      </c>
      <c r="K1204" t="n">
        <v>0</v>
      </c>
      <c r="L1204" t="n">
        <v>0</v>
      </c>
      <c r="M1204" t="n">
        <v>0</v>
      </c>
      <c r="N1204" t="n">
        <v>0</v>
      </c>
      <c r="O1204" t="n">
        <v>0</v>
      </c>
      <c r="P1204" t="n">
        <v>0</v>
      </c>
      <c r="Q1204" t="n">
        <v>0</v>
      </c>
      <c r="R1204" s="2" t="inlineStr"/>
    </row>
    <row r="1205" ht="15" customHeight="1">
      <c r="A1205" t="inlineStr">
        <is>
          <t>A 59430-2025</t>
        </is>
      </c>
      <c r="B1205" s="1" t="n">
        <v>45989.54789351852</v>
      </c>
      <c r="C1205" s="1" t="n">
        <v>46046</v>
      </c>
      <c r="D1205" t="inlineStr">
        <is>
          <t>JÄMTLANDS LÄN</t>
        </is>
      </c>
      <c r="E1205" t="inlineStr">
        <is>
          <t>HÄRJEDALEN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59509-2025</t>
        </is>
      </c>
      <c r="B1206" s="1" t="n">
        <v>45989.64364583333</v>
      </c>
      <c r="C1206" s="1" t="n">
        <v>46046</v>
      </c>
      <c r="D1206" t="inlineStr">
        <is>
          <t>JÄMTLANDS LÄN</t>
        </is>
      </c>
      <c r="E1206" t="inlineStr">
        <is>
          <t>HÄRJEDALEN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1403-2026</t>
        </is>
      </c>
      <c r="B1207" s="1" t="n">
        <v>46031.64429398148</v>
      </c>
      <c r="C1207" s="1" t="n">
        <v>46046</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31723-2025</t>
        </is>
      </c>
      <c r="B1208" s="1" t="n">
        <v>45834</v>
      </c>
      <c r="C1208" s="1" t="n">
        <v>46046</v>
      </c>
      <c r="D1208" t="inlineStr">
        <is>
          <t>JÄMTLANDS LÄN</t>
        </is>
      </c>
      <c r="E1208" t="inlineStr">
        <is>
          <t>HÄRJEDALEN</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1172-2025</t>
        </is>
      </c>
      <c r="B1209" s="1" t="n">
        <v>45667</v>
      </c>
      <c r="C1209" s="1" t="n">
        <v>46046</v>
      </c>
      <c r="D1209" t="inlineStr">
        <is>
          <t>JÄMTLANDS LÄN</t>
        </is>
      </c>
      <c r="E1209" t="inlineStr">
        <is>
          <t>HÄRJEDALEN</t>
        </is>
      </c>
      <c r="F1209" t="inlineStr">
        <is>
          <t>Bergvik skog väst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59117-2025</t>
        </is>
      </c>
      <c r="B1210" s="1" t="n">
        <v>45988.49011574074</v>
      </c>
      <c r="C1210" s="1" t="n">
        <v>46046</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54527-2024</t>
        </is>
      </c>
      <c r="B1211" s="1" t="n">
        <v>45617</v>
      </c>
      <c r="C1211" s="1" t="n">
        <v>46046</v>
      </c>
      <c r="D1211" t="inlineStr">
        <is>
          <t>JÄMTLANDS LÄN</t>
        </is>
      </c>
      <c r="E1211" t="inlineStr">
        <is>
          <t>HÄRJEDALEN</t>
        </is>
      </c>
      <c r="F1211" t="inlineStr">
        <is>
          <t>Holmen skog AB</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30404-2024</t>
        </is>
      </c>
      <c r="B1212" s="1" t="n">
        <v>45491.5859375</v>
      </c>
      <c r="C1212" s="1" t="n">
        <v>46046</v>
      </c>
      <c r="D1212" t="inlineStr">
        <is>
          <t>JÄMTLANDS LÄN</t>
        </is>
      </c>
      <c r="E1212" t="inlineStr">
        <is>
          <t>HÄRJEDALEN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59360-2025</t>
        </is>
      </c>
      <c r="B1213" s="1" t="n">
        <v>45989.42842592593</v>
      </c>
      <c r="C1213" s="1" t="n">
        <v>46046</v>
      </c>
      <c r="D1213" t="inlineStr">
        <is>
          <t>JÄMTLANDS LÄN</t>
        </is>
      </c>
      <c r="E1213" t="inlineStr">
        <is>
          <t>HÄRJEDALEN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59364-2025</t>
        </is>
      </c>
      <c r="B1214" s="1" t="n">
        <v>45989.4393287037</v>
      </c>
      <c r="C1214" s="1" t="n">
        <v>46046</v>
      </c>
      <c r="D1214" t="inlineStr">
        <is>
          <t>JÄMTLANDS LÄN</t>
        </is>
      </c>
      <c r="E1214" t="inlineStr">
        <is>
          <t>HÄRJEDALEN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59981-2025</t>
        </is>
      </c>
      <c r="B1215" s="1" t="n">
        <v>45993.53554398148</v>
      </c>
      <c r="C1215" s="1" t="n">
        <v>46046</v>
      </c>
      <c r="D1215" t="inlineStr">
        <is>
          <t>JÄMTLANDS LÄN</t>
        </is>
      </c>
      <c r="E1215" t="inlineStr">
        <is>
          <t>HÄRJEDALEN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59608-2025</t>
        </is>
      </c>
      <c r="B1216" s="1" t="n">
        <v>45992.3653587963</v>
      </c>
      <c r="C1216" s="1" t="n">
        <v>46046</v>
      </c>
      <c r="D1216" t="inlineStr">
        <is>
          <t>JÄMTLANDS LÄN</t>
        </is>
      </c>
      <c r="E1216" t="inlineStr">
        <is>
          <t>HÄRJEDALEN</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60080-2025</t>
        </is>
      </c>
      <c r="B1217" s="1" t="n">
        <v>45993.69013888889</v>
      </c>
      <c r="C1217" s="1" t="n">
        <v>46046</v>
      </c>
      <c r="D1217" t="inlineStr">
        <is>
          <t>JÄMTLANDS LÄN</t>
        </is>
      </c>
      <c r="E1217" t="inlineStr">
        <is>
          <t>HÄRJEDALEN</t>
        </is>
      </c>
      <c r="F1217" t="inlineStr">
        <is>
          <t>Bergvik skog väst AB</t>
        </is>
      </c>
      <c r="G1217" t="n">
        <v>12.1</v>
      </c>
      <c r="H1217" t="n">
        <v>0</v>
      </c>
      <c r="I1217" t="n">
        <v>0</v>
      </c>
      <c r="J1217" t="n">
        <v>0</v>
      </c>
      <c r="K1217" t="n">
        <v>0</v>
      </c>
      <c r="L1217" t="n">
        <v>0</v>
      </c>
      <c r="M1217" t="n">
        <v>0</v>
      </c>
      <c r="N1217" t="n">
        <v>0</v>
      </c>
      <c r="O1217" t="n">
        <v>0</v>
      </c>
      <c r="P1217" t="n">
        <v>0</v>
      </c>
      <c r="Q1217" t="n">
        <v>0</v>
      </c>
      <c r="R1217" s="2" t="inlineStr"/>
    </row>
    <row r="1218" ht="15" customHeight="1">
      <c r="A1218" t="inlineStr">
        <is>
          <t>A 2313-2026</t>
        </is>
      </c>
      <c r="B1218" s="1" t="n">
        <v>46036.59523148148</v>
      </c>
      <c r="C1218" s="1" t="n">
        <v>46046</v>
      </c>
      <c r="D1218" t="inlineStr">
        <is>
          <t>JÄMTLANDS LÄN</t>
        </is>
      </c>
      <c r="E1218" t="inlineStr">
        <is>
          <t>HÄRJEDALEN</t>
        </is>
      </c>
      <c r="G1218" t="n">
        <v>23.6</v>
      </c>
      <c r="H1218" t="n">
        <v>0</v>
      </c>
      <c r="I1218" t="n">
        <v>0</v>
      </c>
      <c r="J1218" t="n">
        <v>0</v>
      </c>
      <c r="K1218" t="n">
        <v>0</v>
      </c>
      <c r="L1218" t="n">
        <v>0</v>
      </c>
      <c r="M1218" t="n">
        <v>0</v>
      </c>
      <c r="N1218" t="n">
        <v>0</v>
      </c>
      <c r="O1218" t="n">
        <v>0</v>
      </c>
      <c r="P1218" t="n">
        <v>0</v>
      </c>
      <c r="Q1218" t="n">
        <v>0</v>
      </c>
      <c r="R1218" s="2" t="inlineStr"/>
    </row>
    <row r="1219" ht="15" customHeight="1">
      <c r="A1219" t="inlineStr">
        <is>
          <t>A 60413-2025</t>
        </is>
      </c>
      <c r="B1219" s="1" t="n">
        <v>45995.44887731481</v>
      </c>
      <c r="C1219" s="1" t="n">
        <v>46046</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60547-2025</t>
        </is>
      </c>
      <c r="B1220" s="1" t="n">
        <v>45995.70358796296</v>
      </c>
      <c r="C1220" s="1" t="n">
        <v>46046</v>
      </c>
      <c r="D1220" t="inlineStr">
        <is>
          <t>JÄMTLANDS LÄN</t>
        </is>
      </c>
      <c r="E1220" t="inlineStr">
        <is>
          <t>HÄRJEDALEN</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60412-2025</t>
        </is>
      </c>
      <c r="B1221" s="1" t="n">
        <v>45995.44881944444</v>
      </c>
      <c r="C1221" s="1" t="n">
        <v>46046</v>
      </c>
      <c r="D1221" t="inlineStr">
        <is>
          <t>JÄMTLANDS LÄN</t>
        </is>
      </c>
      <c r="E1221" t="inlineStr">
        <is>
          <t>HÄRJEDALEN</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36528-2025</t>
        </is>
      </c>
      <c r="B1222" s="1" t="n">
        <v>45869</v>
      </c>
      <c r="C1222" s="1" t="n">
        <v>46046</v>
      </c>
      <c r="D1222" t="inlineStr">
        <is>
          <t>JÄMTLANDS LÄN</t>
        </is>
      </c>
      <c r="E1222" t="inlineStr">
        <is>
          <t>HÄRJEDALEN</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36537-2025</t>
        </is>
      </c>
      <c r="B1223" s="1" t="n">
        <v>45869</v>
      </c>
      <c r="C1223" s="1" t="n">
        <v>46046</v>
      </c>
      <c r="D1223" t="inlineStr">
        <is>
          <t>JÄMTLANDS LÄN</t>
        </is>
      </c>
      <c r="E1223" t="inlineStr">
        <is>
          <t>HÄRJEDALEN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41037-2025</t>
        </is>
      </c>
      <c r="B1224" s="1" t="n">
        <v>45898</v>
      </c>
      <c r="C1224" s="1" t="n">
        <v>46046</v>
      </c>
      <c r="D1224" t="inlineStr">
        <is>
          <t>JÄMTLANDS LÄN</t>
        </is>
      </c>
      <c r="E1224" t="inlineStr">
        <is>
          <t>HÄRJEDALEN</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63741-2025</t>
        </is>
      </c>
      <c r="B1225" s="1" t="n">
        <v>46015</v>
      </c>
      <c r="C1225" s="1" t="n">
        <v>46046</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64014-2025</t>
        </is>
      </c>
      <c r="B1226" s="1" t="n">
        <v>46021</v>
      </c>
      <c r="C1226" s="1" t="n">
        <v>46046</v>
      </c>
      <c r="D1226" t="inlineStr">
        <is>
          <t>JÄMTLANDS LÄN</t>
        </is>
      </c>
      <c r="E1226" t="inlineStr">
        <is>
          <t>HÄRJEDALEN</t>
        </is>
      </c>
      <c r="G1226" t="n">
        <v>20</v>
      </c>
      <c r="H1226" t="n">
        <v>0</v>
      </c>
      <c r="I1226" t="n">
        <v>0</v>
      </c>
      <c r="J1226" t="n">
        <v>0</v>
      </c>
      <c r="K1226" t="n">
        <v>0</v>
      </c>
      <c r="L1226" t="n">
        <v>0</v>
      </c>
      <c r="M1226" t="n">
        <v>0</v>
      </c>
      <c r="N1226" t="n">
        <v>0</v>
      </c>
      <c r="O1226" t="n">
        <v>0</v>
      </c>
      <c r="P1226" t="n">
        <v>0</v>
      </c>
      <c r="Q1226" t="n">
        <v>0</v>
      </c>
      <c r="R1226" s="2" t="inlineStr"/>
    </row>
    <row r="1227" ht="15" customHeight="1">
      <c r="A1227" t="inlineStr">
        <is>
          <t>A 60494-2025</t>
        </is>
      </c>
      <c r="B1227" s="1" t="n">
        <v>45995.61195601852</v>
      </c>
      <c r="C1227" s="1" t="n">
        <v>46046</v>
      </c>
      <c r="D1227" t="inlineStr">
        <is>
          <t>JÄMTLANDS LÄN</t>
        </is>
      </c>
      <c r="E1227" t="inlineStr">
        <is>
          <t>HÄRJEDALEN</t>
        </is>
      </c>
      <c r="F1227" t="inlineStr">
        <is>
          <t>Bergvik skog väst AB</t>
        </is>
      </c>
      <c r="G1227" t="n">
        <v>46.5</v>
      </c>
      <c r="H1227" t="n">
        <v>0</v>
      </c>
      <c r="I1227" t="n">
        <v>0</v>
      </c>
      <c r="J1227" t="n">
        <v>0</v>
      </c>
      <c r="K1227" t="n">
        <v>0</v>
      </c>
      <c r="L1227" t="n">
        <v>0</v>
      </c>
      <c r="M1227" t="n">
        <v>0</v>
      </c>
      <c r="N1227" t="n">
        <v>0</v>
      </c>
      <c r="O1227" t="n">
        <v>0</v>
      </c>
      <c r="P1227" t="n">
        <v>0</v>
      </c>
      <c r="Q1227" t="n">
        <v>0</v>
      </c>
      <c r="R1227" s="2" t="inlineStr"/>
    </row>
    <row r="1228" ht="15" customHeight="1">
      <c r="A1228" t="inlineStr">
        <is>
          <t>A 53958-2025</t>
        </is>
      </c>
      <c r="B1228" s="1" t="n">
        <v>45961</v>
      </c>
      <c r="C1228" s="1" t="n">
        <v>46046</v>
      </c>
      <c r="D1228" t="inlineStr">
        <is>
          <t>JÄMTLANDS LÄN</t>
        </is>
      </c>
      <c r="E1228" t="inlineStr">
        <is>
          <t>HÄRJEDALEN</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60581-2025</t>
        </is>
      </c>
      <c r="B1229" s="1" t="n">
        <v>45996.33150462963</v>
      </c>
      <c r="C1229" s="1" t="n">
        <v>46046</v>
      </c>
      <c r="D1229" t="inlineStr">
        <is>
          <t>JÄMTLANDS LÄN</t>
        </is>
      </c>
      <c r="E1229" t="inlineStr">
        <is>
          <t>HÄRJEDALEN</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60588-2025</t>
        </is>
      </c>
      <c r="B1230" s="1" t="n">
        <v>45996.33506944445</v>
      </c>
      <c r="C1230" s="1" t="n">
        <v>46046</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60615-2025</t>
        </is>
      </c>
      <c r="B1231" s="1" t="n">
        <v>45996.36813657408</v>
      </c>
      <c r="C1231" s="1" t="n">
        <v>46046</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2781-2026</t>
        </is>
      </c>
      <c r="B1232" s="1" t="n">
        <v>46038.3860300926</v>
      </c>
      <c r="C1232" s="1" t="n">
        <v>46046</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1963-2026</t>
        </is>
      </c>
      <c r="B1233" s="1" t="n">
        <v>46035</v>
      </c>
      <c r="C1233" s="1" t="n">
        <v>46046</v>
      </c>
      <c r="D1233" t="inlineStr">
        <is>
          <t>JÄMTLANDS LÄN</t>
        </is>
      </c>
      <c r="E1233" t="inlineStr">
        <is>
          <t>HÄRJEDALEN</t>
        </is>
      </c>
      <c r="F1233" t="inlineStr">
        <is>
          <t>Övriga statliga verk och myndigheter</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60605-2025</t>
        </is>
      </c>
      <c r="B1234" s="1" t="n">
        <v>45996.359375</v>
      </c>
      <c r="C1234" s="1" t="n">
        <v>46046</v>
      </c>
      <c r="D1234" t="inlineStr">
        <is>
          <t>JÄMTLANDS LÄN</t>
        </is>
      </c>
      <c r="E1234" t="inlineStr">
        <is>
          <t>HÄRJEDALEN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2770-2026</t>
        </is>
      </c>
      <c r="B1235" s="1" t="n">
        <v>46038.36815972222</v>
      </c>
      <c r="C1235" s="1" t="n">
        <v>46046</v>
      </c>
      <c r="D1235" t="inlineStr">
        <is>
          <t>JÄMTLANDS LÄN</t>
        </is>
      </c>
      <c r="E1235" t="inlineStr">
        <is>
          <t>HÄRJEDALEN</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60602-2025</t>
        </is>
      </c>
      <c r="B1236" s="1" t="n">
        <v>45996.3533912037</v>
      </c>
      <c r="C1236" s="1" t="n">
        <v>46046</v>
      </c>
      <c r="D1236" t="inlineStr">
        <is>
          <t>JÄMTLANDS LÄN</t>
        </is>
      </c>
      <c r="E1236" t="inlineStr">
        <is>
          <t>HÄRJEDALEN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3245-2026</t>
        </is>
      </c>
      <c r="B1237" s="1" t="n">
        <v>46041.5734375</v>
      </c>
      <c r="C1237" s="1" t="n">
        <v>46046</v>
      </c>
      <c r="D1237" t="inlineStr">
        <is>
          <t>JÄMTLANDS LÄN</t>
        </is>
      </c>
      <c r="E1237" t="inlineStr">
        <is>
          <t>HÄRJEDALEN</t>
        </is>
      </c>
      <c r="F1237" t="inlineStr">
        <is>
          <t>SCA</t>
        </is>
      </c>
      <c r="G1237" t="n">
        <v>34.8</v>
      </c>
      <c r="H1237" t="n">
        <v>0</v>
      </c>
      <c r="I1237" t="n">
        <v>0</v>
      </c>
      <c r="J1237" t="n">
        <v>0</v>
      </c>
      <c r="K1237" t="n">
        <v>0</v>
      </c>
      <c r="L1237" t="n">
        <v>0</v>
      </c>
      <c r="M1237" t="n">
        <v>0</v>
      </c>
      <c r="N1237" t="n">
        <v>0</v>
      </c>
      <c r="O1237" t="n">
        <v>0</v>
      </c>
      <c r="P1237" t="n">
        <v>0</v>
      </c>
      <c r="Q1237" t="n">
        <v>0</v>
      </c>
      <c r="R1237" s="2" t="inlineStr"/>
    </row>
    <row r="1238" ht="15" customHeight="1">
      <c r="A1238" t="inlineStr">
        <is>
          <t>A 3246-2026</t>
        </is>
      </c>
      <c r="B1238" s="1" t="n">
        <v>46041.57364583333</v>
      </c>
      <c r="C1238" s="1" t="n">
        <v>46046</v>
      </c>
      <c r="D1238" t="inlineStr">
        <is>
          <t>JÄMTLANDS LÄN</t>
        </is>
      </c>
      <c r="E1238" t="inlineStr">
        <is>
          <t>HÄRJEDALEN</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60980-2025</t>
        </is>
      </c>
      <c r="B1239" s="1" t="n">
        <v>45999.70190972222</v>
      </c>
      <c r="C1239" s="1" t="n">
        <v>46046</v>
      </c>
      <c r="D1239" t="inlineStr">
        <is>
          <t>JÄMTLANDS LÄN</t>
        </is>
      </c>
      <c r="E1239" t="inlineStr">
        <is>
          <t>HÄRJEDALEN</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60856-2025</t>
        </is>
      </c>
      <c r="B1240" s="1" t="n">
        <v>45999.51965277778</v>
      </c>
      <c r="C1240" s="1" t="n">
        <v>46046</v>
      </c>
      <c r="D1240" t="inlineStr">
        <is>
          <t>JÄMTLANDS LÄN</t>
        </is>
      </c>
      <c r="E1240" t="inlineStr">
        <is>
          <t>HÄRJEDALEN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60904-2025</t>
        </is>
      </c>
      <c r="B1241" s="1" t="n">
        <v>45999.59417824074</v>
      </c>
      <c r="C1241" s="1" t="n">
        <v>46046</v>
      </c>
      <c r="D1241" t="inlineStr">
        <is>
          <t>JÄMTLANDS LÄN</t>
        </is>
      </c>
      <c r="E1241" t="inlineStr">
        <is>
          <t>HÄRJEDALEN</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3301-2026</t>
        </is>
      </c>
      <c r="B1242" s="1" t="n">
        <v>46041.65736111111</v>
      </c>
      <c r="C1242" s="1" t="n">
        <v>46046</v>
      </c>
      <c r="D1242" t="inlineStr">
        <is>
          <t>JÄMTLANDS LÄN</t>
        </is>
      </c>
      <c r="E1242" t="inlineStr">
        <is>
          <t>HÄRJEDALEN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60568-2025</t>
        </is>
      </c>
      <c r="B1243" s="1" t="n">
        <v>45995.84627314815</v>
      </c>
      <c r="C1243" s="1" t="n">
        <v>46046</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60674-2025</t>
        </is>
      </c>
      <c r="B1244" s="1" t="n">
        <v>45996.55619212963</v>
      </c>
      <c r="C1244" s="1" t="n">
        <v>46046</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60777-2025</t>
        </is>
      </c>
      <c r="B1245" s="1" t="n">
        <v>45999.39118055555</v>
      </c>
      <c r="C1245" s="1" t="n">
        <v>46046</v>
      </c>
      <c r="D1245" t="inlineStr">
        <is>
          <t>JÄMTLANDS LÄN</t>
        </is>
      </c>
      <c r="E1245" t="inlineStr">
        <is>
          <t>HÄRJEDALEN</t>
        </is>
      </c>
      <c r="F1245" t="inlineStr">
        <is>
          <t>Bergvik skog väst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51964-2024</t>
        </is>
      </c>
      <c r="B1246" s="1" t="n">
        <v>45607</v>
      </c>
      <c r="C1246" s="1" t="n">
        <v>46046</v>
      </c>
      <c r="D1246" t="inlineStr">
        <is>
          <t>JÄMTLANDS LÄN</t>
        </is>
      </c>
      <c r="E1246" t="inlineStr">
        <is>
          <t>HÄRJEDALEN</t>
        </is>
      </c>
      <c r="F1246" t="inlineStr">
        <is>
          <t>Holmen skog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61240-2025</t>
        </is>
      </c>
      <c r="B1247" s="1" t="n">
        <v>46000.65603009259</v>
      </c>
      <c r="C1247" s="1" t="n">
        <v>46046</v>
      </c>
      <c r="D1247" t="inlineStr">
        <is>
          <t>JÄMTLANDS LÄN</t>
        </is>
      </c>
      <c r="E1247" t="inlineStr">
        <is>
          <t>HÄRJEDALEN</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3696-2026</t>
        </is>
      </c>
      <c r="B1248" s="1" t="n">
        <v>46043.45800925926</v>
      </c>
      <c r="C1248" s="1" t="n">
        <v>46046</v>
      </c>
      <c r="D1248" t="inlineStr">
        <is>
          <t>JÄMTLANDS LÄN</t>
        </is>
      </c>
      <c r="E1248" t="inlineStr">
        <is>
          <t>HÄRJEDALEN</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3795-2026</t>
        </is>
      </c>
      <c r="B1249" s="1" t="n">
        <v>46043.57891203704</v>
      </c>
      <c r="C1249" s="1" t="n">
        <v>46046</v>
      </c>
      <c r="D1249" t="inlineStr">
        <is>
          <t>JÄMTLANDS LÄN</t>
        </is>
      </c>
      <c r="E1249" t="inlineStr">
        <is>
          <t>HÄRJEDALEN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61471-2025</t>
        </is>
      </c>
      <c r="B1250" s="1" t="n">
        <v>46001.6153587963</v>
      </c>
      <c r="C1250" s="1" t="n">
        <v>46046</v>
      </c>
      <c r="D1250" t="inlineStr">
        <is>
          <t>JÄMTLANDS LÄN</t>
        </is>
      </c>
      <c r="E1250" t="inlineStr">
        <is>
          <t>HÄRJEDALEN</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62388-2025</t>
        </is>
      </c>
      <c r="B1251" s="1" t="n">
        <v>46006</v>
      </c>
      <c r="C1251" s="1" t="n">
        <v>46046</v>
      </c>
      <c r="D1251" t="inlineStr">
        <is>
          <t>JÄMTLANDS LÄN</t>
        </is>
      </c>
      <c r="E1251" t="inlineStr">
        <is>
          <t>HÄRJEDALEN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36539-2025</t>
        </is>
      </c>
      <c r="B1252" s="1" t="n">
        <v>45869</v>
      </c>
      <c r="C1252" s="1" t="n">
        <v>46046</v>
      </c>
      <c r="D1252" t="inlineStr">
        <is>
          <t>JÄMTLANDS LÄN</t>
        </is>
      </c>
      <c r="E1252" t="inlineStr">
        <is>
          <t>HÄRJEDALEN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37290-2025</t>
        </is>
      </c>
      <c r="B1253" s="1" t="n">
        <v>45876</v>
      </c>
      <c r="C1253" s="1" t="n">
        <v>46046</v>
      </c>
      <c r="D1253" t="inlineStr">
        <is>
          <t>JÄMTLANDS LÄN</t>
        </is>
      </c>
      <c r="E1253" t="inlineStr">
        <is>
          <t>HÄRJEDALEN</t>
        </is>
      </c>
      <c r="F1253" t="inlineStr">
        <is>
          <t>Bergvik skog väst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57840-2024</t>
        </is>
      </c>
      <c r="B1254" s="1" t="n">
        <v>45631</v>
      </c>
      <c r="C1254" s="1" t="n">
        <v>46046</v>
      </c>
      <c r="D1254" t="inlineStr">
        <is>
          <t>JÄMTLANDS LÄN</t>
        </is>
      </c>
      <c r="E1254" t="inlineStr">
        <is>
          <t>HÄRJEDALEN</t>
        </is>
      </c>
      <c r="F1254" t="inlineStr">
        <is>
          <t>Bergvik skog väst AB</t>
        </is>
      </c>
      <c r="G1254" t="n">
        <v>98.8</v>
      </c>
      <c r="H1254" t="n">
        <v>0</v>
      </c>
      <c r="I1254" t="n">
        <v>0</v>
      </c>
      <c r="J1254" t="n">
        <v>0</v>
      </c>
      <c r="K1254" t="n">
        <v>0</v>
      </c>
      <c r="L1254" t="n">
        <v>0</v>
      </c>
      <c r="M1254" t="n">
        <v>0</v>
      </c>
      <c r="N1254" t="n">
        <v>0</v>
      </c>
      <c r="O1254" t="n">
        <v>0</v>
      </c>
      <c r="P1254" t="n">
        <v>0</v>
      </c>
      <c r="Q1254" t="n">
        <v>0</v>
      </c>
      <c r="R1254" s="2" t="inlineStr"/>
    </row>
    <row r="1255">
      <c r="A1255" t="inlineStr">
        <is>
          <t>A 61765-2025</t>
        </is>
      </c>
      <c r="B1255" s="1" t="n">
        <v>46002.63063657407</v>
      </c>
      <c r="C1255" s="1" t="n">
        <v>46046</v>
      </c>
      <c r="D1255" t="inlineStr">
        <is>
          <t>JÄMTLANDS LÄN</t>
        </is>
      </c>
      <c r="E1255" t="inlineStr">
        <is>
          <t>HÄRJEDALEN</t>
        </is>
      </c>
      <c r="G1255" t="n">
        <v>2.3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2026-01-24T11:02:11Z</dcterms:created>
  <dcterms:modified xmlns:dcterms="http://purl.org/dc/terms/" xmlns:xsi="http://www.w3.org/2001/XMLSchema-instance" xsi:type="dcterms:W3CDTF">2026-01-24T11:02:12Z</dcterms:modified>
</cp:coreProperties>
</file>