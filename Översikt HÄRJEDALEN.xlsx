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45582</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45582</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45582</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45582</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45582</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45582</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45582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45582</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45582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45582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45582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45582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45582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45582</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45582</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45582</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45582</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45582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45582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45582</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45582</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45582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45582</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45582</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45582</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45582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45582</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45582</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45582</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45582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45582</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45582</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43789-2024</t>
        </is>
      </c>
      <c r="B44" s="1" t="n">
        <v>45571</v>
      </c>
      <c r="C44" s="1" t="n">
        <v>45582</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28713-2021</t>
        </is>
      </c>
      <c r="B45" s="1" t="n">
        <v>44357</v>
      </c>
      <c r="C45" s="1" t="n">
        <v>45582</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58278-2021</t>
        </is>
      </c>
      <c r="B46" s="1" t="n">
        <v>44487</v>
      </c>
      <c r="C46" s="1" t="n">
        <v>45582</v>
      </c>
      <c r="D46" t="inlineStr">
        <is>
          <t>JÄMTLANDS LÄN</t>
        </is>
      </c>
      <c r="E46" t="inlineStr">
        <is>
          <t>HÄRJEDALEN</t>
        </is>
      </c>
      <c r="F46" t="inlineStr">
        <is>
          <t>SCA</t>
        </is>
      </c>
      <c r="G46" t="n">
        <v>33.9</v>
      </c>
      <c r="H46" t="n">
        <v>1</v>
      </c>
      <c r="I46" t="n">
        <v>3</v>
      </c>
      <c r="J46" t="n">
        <v>4</v>
      </c>
      <c r="K46" t="n">
        <v>3</v>
      </c>
      <c r="L46" t="n">
        <v>1</v>
      </c>
      <c r="M46" t="n">
        <v>0</v>
      </c>
      <c r="N46" t="n">
        <v>0</v>
      </c>
      <c r="O46" t="n">
        <v>8</v>
      </c>
      <c r="P46" t="n">
        <v>4</v>
      </c>
      <c r="Q46" t="n">
        <v>11</v>
      </c>
      <c r="R46" s="2" t="inlineStr">
        <is>
          <t>Mosippa
Lammticka
Spadskinn
Tallgråticka
Blå taggsvamp
Motaggsvamp
Skrovlig taggsvamp
Talltaggsvamp
Dropptaggsvamp
Skarp dropptaggsvamp
Tallfingersvamp</t>
        </is>
      </c>
      <c r="S46">
        <f>HYPERLINK("https://klasma.github.io/Logging_2361/artfynd/A 58278-2021 artfynd.xlsx", "A 58278-2021")</f>
        <v/>
      </c>
      <c r="T46">
        <f>HYPERLINK("https://klasma.github.io/Logging_2361/kartor/A 58278-2021 karta.png", "A 58278-2021")</f>
        <v/>
      </c>
      <c r="V46">
        <f>HYPERLINK("https://klasma.github.io/Logging_2361/klagomål/A 58278-2021 FSC-klagomål.docx", "A 58278-2021")</f>
        <v/>
      </c>
      <c r="W46">
        <f>HYPERLINK("https://klasma.github.io/Logging_2361/klagomålsmail/A 58278-2021 FSC-klagomål mail.docx", "A 58278-2021")</f>
        <v/>
      </c>
      <c r="X46">
        <f>HYPERLINK("https://klasma.github.io/Logging_2361/tillsyn/A 58278-2021 tillsynsbegäran.docx", "A 58278-2021")</f>
        <v/>
      </c>
      <c r="Y46">
        <f>HYPERLINK("https://klasma.github.io/Logging_2361/tillsynsmail/A 58278-2021 tillsynsbegäran mail.docx", "A 58278-2021")</f>
        <v/>
      </c>
    </row>
    <row r="47" ht="15" customHeight="1">
      <c r="A47" t="inlineStr">
        <is>
          <t>A 17749-2022</t>
        </is>
      </c>
      <c r="B47" s="1" t="n">
        <v>44680</v>
      </c>
      <c r="C47" s="1" t="n">
        <v>45582</v>
      </c>
      <c r="D47" t="inlineStr">
        <is>
          <t>JÄMTLANDS LÄN</t>
        </is>
      </c>
      <c r="E47" t="inlineStr">
        <is>
          <t>HÄRJEDALEN</t>
        </is>
      </c>
      <c r="F47" t="inlineStr">
        <is>
          <t>SCA</t>
        </is>
      </c>
      <c r="G47" t="n">
        <v>17.6</v>
      </c>
      <c r="H47" t="n">
        <v>0</v>
      </c>
      <c r="I47" t="n">
        <v>2</v>
      </c>
      <c r="J47" t="n">
        <v>6</v>
      </c>
      <c r="K47" t="n">
        <v>3</v>
      </c>
      <c r="L47" t="n">
        <v>0</v>
      </c>
      <c r="M47" t="n">
        <v>0</v>
      </c>
      <c r="N47" t="n">
        <v>0</v>
      </c>
      <c r="O47" t="n">
        <v>9</v>
      </c>
      <c r="P47" t="n">
        <v>3</v>
      </c>
      <c r="Q47" t="n">
        <v>11</v>
      </c>
      <c r="R47" s="2" t="inlineStr">
        <is>
          <t>Goliatmusseron
Tajgataggsvamp
Tallgråticka
Blå taggsvamp
Orange taggsvamp
Skrovlig taggsvamp
Tallriska
Talltaggsvamp
Vaddporing
Dropptaggsvamp
Skarp dropptaggsvamp</t>
        </is>
      </c>
      <c r="S47">
        <f>HYPERLINK("https://klasma.github.io/Logging_2361/artfynd/A 17749-2022 artfynd.xlsx", "A 17749-2022")</f>
        <v/>
      </c>
      <c r="T47">
        <f>HYPERLINK("https://klasma.github.io/Logging_2361/kartor/A 17749-2022 karta.png", "A 17749-2022")</f>
        <v/>
      </c>
      <c r="V47">
        <f>HYPERLINK("https://klasma.github.io/Logging_2361/klagomål/A 17749-2022 FSC-klagomål.docx", "A 17749-2022")</f>
        <v/>
      </c>
      <c r="W47">
        <f>HYPERLINK("https://klasma.github.io/Logging_2361/klagomålsmail/A 17749-2022 FSC-klagomål mail.docx", "A 17749-2022")</f>
        <v/>
      </c>
      <c r="X47">
        <f>HYPERLINK("https://klasma.github.io/Logging_2361/tillsyn/A 17749-2022 tillsynsbegäran.docx", "A 17749-2022")</f>
        <v/>
      </c>
      <c r="Y47">
        <f>HYPERLINK("https://klasma.github.io/Logging_2361/tillsynsmail/A 17749-2022 tillsynsbegäran mail.docx", "A 17749-2022")</f>
        <v/>
      </c>
    </row>
    <row r="48" ht="15" customHeight="1">
      <c r="A48" t="inlineStr">
        <is>
          <t>A 31328-2022</t>
        </is>
      </c>
      <c r="B48" s="1" t="n">
        <v>44774</v>
      </c>
      <c r="C48" s="1" t="n">
        <v>45582</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46633-2023</t>
        </is>
      </c>
      <c r="B49" s="1" t="n">
        <v>45198</v>
      </c>
      <c r="C49" s="1" t="n">
        <v>45582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38535-2019</t>
        </is>
      </c>
      <c r="B50" s="1" t="n">
        <v>43685</v>
      </c>
      <c r="C50" s="1" t="n">
        <v>45582</v>
      </c>
      <c r="D50" t="inlineStr">
        <is>
          <t>JÄMTLANDS LÄN</t>
        </is>
      </c>
      <c r="E50" t="inlineStr">
        <is>
          <t>HÄRJEDALEN</t>
        </is>
      </c>
      <c r="F50" t="inlineStr">
        <is>
          <t>Sveaskog</t>
        </is>
      </c>
      <c r="G50" t="n">
        <v>7.2</v>
      </c>
      <c r="H50" t="n">
        <v>3</v>
      </c>
      <c r="I50" t="n">
        <v>2</v>
      </c>
      <c r="J50" t="n">
        <v>5</v>
      </c>
      <c r="K50" t="n">
        <v>1</v>
      </c>
      <c r="L50" t="n">
        <v>0</v>
      </c>
      <c r="M50" t="n">
        <v>0</v>
      </c>
      <c r="N50" t="n">
        <v>0</v>
      </c>
      <c r="O50" t="n">
        <v>6</v>
      </c>
      <c r="P50" t="n">
        <v>1</v>
      </c>
      <c r="Q50" t="n">
        <v>10</v>
      </c>
      <c r="R50" s="2" t="inlineStr">
        <is>
          <t>Knärot
Blanksvart spiklav
Gammelgransskål
Garnlav
Lunglav
Skrovellav
Barkkornlav
Bronshjon
Fläcknycklar
Revlummer</t>
        </is>
      </c>
      <c r="S50">
        <f>HYPERLINK("https://klasma.github.io/Logging_2361/artfynd/A 38535-2019 artfynd.xlsx", "A 38535-2019")</f>
        <v/>
      </c>
      <c r="T50">
        <f>HYPERLINK("https://klasma.github.io/Logging_2361/kartor/A 38535-2019 karta.png", "A 38535-2019")</f>
        <v/>
      </c>
      <c r="U50">
        <f>HYPERLINK("https://klasma.github.io/Logging_2361/knärot/A 38535-2019 karta knärot.png", "A 38535-2019")</f>
        <v/>
      </c>
      <c r="V50">
        <f>HYPERLINK("https://klasma.github.io/Logging_2361/klagomål/A 38535-2019 FSC-klagomål.docx", "A 38535-2019")</f>
        <v/>
      </c>
      <c r="W50">
        <f>HYPERLINK("https://klasma.github.io/Logging_2361/klagomålsmail/A 38535-2019 FSC-klagomål mail.docx", "A 38535-2019")</f>
        <v/>
      </c>
      <c r="X50">
        <f>HYPERLINK("https://klasma.github.io/Logging_2361/tillsyn/A 38535-2019 tillsynsbegäran.docx", "A 38535-2019")</f>
        <v/>
      </c>
      <c r="Y50">
        <f>HYPERLINK("https://klasma.github.io/Logging_2361/tillsynsmail/A 38535-2019 tillsynsbegäran mail.docx", "A 38535-2019")</f>
        <v/>
      </c>
    </row>
    <row r="51" ht="15" customHeight="1">
      <c r="A51" t="inlineStr">
        <is>
          <t>A 51061-2019</t>
        </is>
      </c>
      <c r="B51" s="1" t="n">
        <v>43739</v>
      </c>
      <c r="C51" s="1" t="n">
        <v>45582</v>
      </c>
      <c r="D51" t="inlineStr">
        <is>
          <t>JÄMTLANDS LÄN</t>
        </is>
      </c>
      <c r="E51" t="inlineStr">
        <is>
          <t>HÄRJEDALEN</t>
        </is>
      </c>
      <c r="G51" t="n">
        <v>10.4</v>
      </c>
      <c r="H51" t="n">
        <v>0</v>
      </c>
      <c r="I51" t="n">
        <v>2</v>
      </c>
      <c r="J51" t="n">
        <v>8</v>
      </c>
      <c r="K51" t="n">
        <v>0</v>
      </c>
      <c r="L51" t="n">
        <v>0</v>
      </c>
      <c r="M51" t="n">
        <v>0</v>
      </c>
      <c r="N51" t="n">
        <v>0</v>
      </c>
      <c r="O51" t="n">
        <v>8</v>
      </c>
      <c r="P51" t="n">
        <v>0</v>
      </c>
      <c r="Q51" t="n">
        <v>10</v>
      </c>
      <c r="R51" s="2" t="inlineStr">
        <is>
          <t>Doftskinn
Garnlav
Granticka
Gränsticka
Harticka
Knottrig blåslav
Vedflamlav
Violettgrå tagellav
Stuplav
Vedticka</t>
        </is>
      </c>
      <c r="S51">
        <f>HYPERLINK("https://klasma.github.io/Logging_2361/artfynd/A 51061-2019 artfynd.xlsx", "A 51061-2019")</f>
        <v/>
      </c>
      <c r="T51">
        <f>HYPERLINK("https://klasma.github.io/Logging_2361/kartor/A 51061-2019 karta.png", "A 51061-2019")</f>
        <v/>
      </c>
      <c r="V51">
        <f>HYPERLINK("https://klasma.github.io/Logging_2361/klagomål/A 51061-2019 FSC-klagomål.docx", "A 51061-2019")</f>
        <v/>
      </c>
      <c r="W51">
        <f>HYPERLINK("https://klasma.github.io/Logging_2361/klagomålsmail/A 51061-2019 FSC-klagomål mail.docx", "A 51061-2019")</f>
        <v/>
      </c>
      <c r="X51">
        <f>HYPERLINK("https://klasma.github.io/Logging_2361/tillsyn/A 51061-2019 tillsynsbegäran.docx", "A 51061-2019")</f>
        <v/>
      </c>
      <c r="Y51">
        <f>HYPERLINK("https://klasma.github.io/Logging_2361/tillsynsmail/A 51061-2019 tillsynsbegäran mail.docx", "A 51061-2019")</f>
        <v/>
      </c>
    </row>
    <row r="52" ht="15" customHeight="1">
      <c r="A52" t="inlineStr">
        <is>
          <t>A 55158-2019</t>
        </is>
      </c>
      <c r="B52" s="1" t="n">
        <v>43756</v>
      </c>
      <c r="C52" s="1" t="n">
        <v>45582</v>
      </c>
      <c r="D52" t="inlineStr">
        <is>
          <t>JÄMTLANDS LÄN</t>
        </is>
      </c>
      <c r="E52" t="inlineStr">
        <is>
          <t>HÄRJEDALEN</t>
        </is>
      </c>
      <c r="G52" t="n">
        <v>11.5</v>
      </c>
      <c r="H52" t="n">
        <v>0</v>
      </c>
      <c r="I52" t="n">
        <v>2</v>
      </c>
      <c r="J52" t="n">
        <v>8</v>
      </c>
      <c r="K52" t="n">
        <v>0</v>
      </c>
      <c r="L52" t="n">
        <v>0</v>
      </c>
      <c r="M52" t="n">
        <v>0</v>
      </c>
      <c r="N52" t="n">
        <v>0</v>
      </c>
      <c r="O52" t="n">
        <v>8</v>
      </c>
      <c r="P52" t="n">
        <v>0</v>
      </c>
      <c r="Q52" t="n">
        <v>10</v>
      </c>
      <c r="R52" s="2" t="inlineStr">
        <is>
          <t>Garnlav
Kolflarnlav
Lunglav
Mörk kolflarnlav
Skrovellav
Vaddporing
Vedflamlav
Vedskivlav
Dropptaggsvamp
Luddlav</t>
        </is>
      </c>
      <c r="S52">
        <f>HYPERLINK("https://klasma.github.io/Logging_2361/artfynd/A 55158-2019 artfynd.xlsx", "A 55158-2019")</f>
        <v/>
      </c>
      <c r="T52">
        <f>HYPERLINK("https://klasma.github.io/Logging_2361/kartor/A 55158-2019 karta.png", "A 55158-2019")</f>
        <v/>
      </c>
      <c r="V52">
        <f>HYPERLINK("https://klasma.github.io/Logging_2361/klagomål/A 55158-2019 FSC-klagomål.docx", "A 55158-2019")</f>
        <v/>
      </c>
      <c r="W52">
        <f>HYPERLINK("https://klasma.github.io/Logging_2361/klagomålsmail/A 55158-2019 FSC-klagomål mail.docx", "A 55158-2019")</f>
        <v/>
      </c>
      <c r="X52">
        <f>HYPERLINK("https://klasma.github.io/Logging_2361/tillsyn/A 55158-2019 tillsynsbegäran.docx", "A 55158-2019")</f>
        <v/>
      </c>
      <c r="Y52">
        <f>HYPERLINK("https://klasma.github.io/Logging_2361/tillsynsmail/A 55158-2019 tillsynsbegäran mail.docx", "A 55158-2019")</f>
        <v/>
      </c>
    </row>
    <row r="53" ht="15" customHeight="1">
      <c r="A53" t="inlineStr">
        <is>
          <t>A 29799-2022</t>
        </is>
      </c>
      <c r="B53" s="1" t="n">
        <v>44755</v>
      </c>
      <c r="C53" s="1" t="n">
        <v>45582</v>
      </c>
      <c r="D53" t="inlineStr">
        <is>
          <t>JÄMTLANDS LÄN</t>
        </is>
      </c>
      <c r="E53" t="inlineStr">
        <is>
          <t>HÄRJEDALEN</t>
        </is>
      </c>
      <c r="F53" t="inlineStr">
        <is>
          <t>Kyrkan</t>
        </is>
      </c>
      <c r="G53" t="n">
        <v>21.4</v>
      </c>
      <c r="H53" t="n">
        <v>2</v>
      </c>
      <c r="I53" t="n">
        <v>0</v>
      </c>
      <c r="J53" t="n">
        <v>10</v>
      </c>
      <c r="K53" t="n">
        <v>0</v>
      </c>
      <c r="L53" t="n">
        <v>0</v>
      </c>
      <c r="M53" t="n">
        <v>0</v>
      </c>
      <c r="N53" t="n">
        <v>0</v>
      </c>
      <c r="O53" t="n">
        <v>10</v>
      </c>
      <c r="P53" t="n">
        <v>0</v>
      </c>
      <c r="Q53" t="n">
        <v>10</v>
      </c>
      <c r="R53" s="2" t="inlineStr">
        <is>
          <t>Blanksvart spiklav
Blågrå svartspik
Dvärgbägarlav
Knottrig blåslav
Ladlav
Mörk kolflarnlav
Talltita
Tretåig hackspett
Vedflamlav
Vedskivlav</t>
        </is>
      </c>
      <c r="S53">
        <f>HYPERLINK("https://klasma.github.io/Logging_2361/artfynd/A 29799-2022 artfynd.xlsx", "A 29799-2022")</f>
        <v/>
      </c>
      <c r="T53">
        <f>HYPERLINK("https://klasma.github.io/Logging_2361/kartor/A 29799-2022 karta.png", "A 29799-2022")</f>
        <v/>
      </c>
      <c r="V53">
        <f>HYPERLINK("https://klasma.github.io/Logging_2361/klagomål/A 29799-2022 FSC-klagomål.docx", "A 29799-2022")</f>
        <v/>
      </c>
      <c r="W53">
        <f>HYPERLINK("https://klasma.github.io/Logging_2361/klagomålsmail/A 29799-2022 FSC-klagomål mail.docx", "A 29799-2022")</f>
        <v/>
      </c>
      <c r="X53">
        <f>HYPERLINK("https://klasma.github.io/Logging_2361/tillsyn/A 29799-2022 tillsynsbegäran.docx", "A 29799-2022")</f>
        <v/>
      </c>
      <c r="Y53">
        <f>HYPERLINK("https://klasma.github.io/Logging_2361/tillsynsmail/A 29799-2022 tillsynsbegäran mail.docx", "A 29799-2022")</f>
        <v/>
      </c>
      <c r="Z53">
        <f>HYPERLINK("https://klasma.github.io/Logging_2361/fåglar/A 29799-2022 prioriterade fågelarter.docx", "A 29799-2022")</f>
        <v/>
      </c>
    </row>
    <row r="54" ht="15" customHeight="1">
      <c r="A54" t="inlineStr">
        <is>
          <t>A 16890-2024</t>
        </is>
      </c>
      <c r="B54" s="1" t="n">
        <v>45411</v>
      </c>
      <c r="C54" s="1" t="n">
        <v>45582</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28288-2024</t>
        </is>
      </c>
      <c r="B55" s="1" t="n">
        <v>45477</v>
      </c>
      <c r="C55" s="1" t="n">
        <v>45582</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65905-2021</t>
        </is>
      </c>
      <c r="B56" s="1" t="n">
        <v>44517</v>
      </c>
      <c r="C56" s="1" t="n">
        <v>45582</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45582</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45582</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45582</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45582</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45582</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45582</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45582</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45582</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45582</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45582</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45582</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45582</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45582</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45582</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45582</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45582</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45582</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45582</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45582</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45582</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45582</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45582</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45582</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45582</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45582</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45582</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45582</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45582</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45582</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45582</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45582</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45582</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45582</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45582</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45582</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45582</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45582</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45582</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45582</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45582</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45582</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45582</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45582</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45582</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45582</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45582</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45582</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45582</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45582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45582</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45582</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45582</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45582</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45582</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45582</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45582</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45582</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45582</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45582</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45582</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45582</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45582</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45582</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45582</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45582</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45582</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45582</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45582</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45582</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45582</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45582</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45582</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45582</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45582</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45582</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45582</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45582</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45582</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45582</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45582</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45582</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45582</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45582</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45582</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45582</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45582</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45582</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45582</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45582</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45582</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45582</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45582</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45582</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45582</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45582</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45582</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45582</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45582</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45582</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45582</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45582</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45582</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45582</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45582</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45582</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45582</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45582</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45582</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45582</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45582</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45582</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45582</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45582</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45582</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45582</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45582</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45582</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45582</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45582</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45582</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45582</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45582</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45582</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45582</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45582</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45582</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45582</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45582</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45582</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45582</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45582</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45582</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45582</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45582</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45582</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45582</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45582</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45582</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45582</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45582</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45582</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45582</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45582</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45582</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45582</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45582</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45582</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45582</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45582</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45582</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45582</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45582</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45582</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45582</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45582</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45582</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45582</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45582</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45582</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45582</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45582</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45582</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45582</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45582</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45582</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45582</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45582</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45582</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45582</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45582</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45582</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45582</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45582</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45582</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45582</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45582</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45582</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45582</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45582</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45582</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45582</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45582</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45582</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45582</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45582</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45582</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45582</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45582</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45582</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45582</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45582</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45582</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45582</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45582</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45582</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45582</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45582</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45582</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45582</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45582</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45582</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45582</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45582</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45582</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45582</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45582</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45582</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45582</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45582</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45582</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45582</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45582</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45582</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45582</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45582</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45582</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45582</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45582</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45582</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45582</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45582</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45582</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45582</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45582</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45582</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45582</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45582</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45582</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45582</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45582</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45582</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45582</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45582</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45582</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45582</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45582</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45582</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45582</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45582</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45582</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45582</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45582</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45582</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45582</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45582</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45582</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45582</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45582</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45582</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45582</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45582</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45582</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45582</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45582</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45582</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45582</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45582</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45582</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45582</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45582</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45582</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45582</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45582</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45582</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45582</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45582</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45582</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45582</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45582</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45582</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45582</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45582</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45582</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45582</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45582</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45582</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45582</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45582</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45582</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45582</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45582</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45582</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45582</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45582</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45582</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45582</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45582</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45582</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45582</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45582</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45582</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45582</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45582</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45582</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45582</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45582</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45582</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45582</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45582</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45582</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45582</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45582</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45582</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45582</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45582</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45582</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45582</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45582</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45582</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45582</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45582</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45582</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45582</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45582</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45582</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45582</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45582</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45582</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45582</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45582</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45582</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45582</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45582</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45582</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45582</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45582</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45582</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45582</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45582</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45582</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45582</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45582</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45582</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45582</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45582</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45582</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45582</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45582</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45582</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45582</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45582</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45582</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45582</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45582</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45582</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45582</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45582</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45582</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45582</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45582</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45582</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45582</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45582</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45582</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45582</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45582</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45582</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45582</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45582</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45582</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45582</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45582</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45582</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45582</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45582</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45582</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45582</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45582</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45582</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45582</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45582</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45582</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45582</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45582</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45582</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45582</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45582</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45582</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45582</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45582</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45582</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45582</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45582</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45582</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45582</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45582</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45582</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45582</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45582</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45582</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45582</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45582</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45582</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45582</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45582</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45582</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45582</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45582</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45582</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45582</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45582</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45582</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45582</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45582</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45582</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45582</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45582</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45582</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45582</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45582</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45582</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45582</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45582</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45582</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45582</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45582</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45582</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45582</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45582</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45582</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45582</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45582</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45582</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45582</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45582</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45582</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45582</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45582</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45582</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45582</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45582</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45582</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45582</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45582</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45582</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45582</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45582</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45582</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45582</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45582</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45582</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45582</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45582</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45582</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45582</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45582</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45582</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45582</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45582</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45582</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45582</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45582</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45582</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45582</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45582</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45582</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45582</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45582</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45582</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45582</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45582</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45582</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45582</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45582</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45582</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45582</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45582</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45582</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45582</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45582</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45582</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45582</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45582</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45582</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45582</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45582</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45582</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45582</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45582</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45582</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45582</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45582</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45582</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45582</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45582</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45582</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45582</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45582</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45582</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45582</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45582</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45582</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45582</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45582</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45582</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45582</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45582</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45582</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45582</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45582</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45582</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45582</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45582</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45582</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45582</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45582</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45582</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45582</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45582</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45582</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45582</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45582</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45582</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45582</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45582</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45582</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45582</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45582</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45582</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45582</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45582</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45582</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45582</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45582</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45582</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45582</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45582</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45582</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45582</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45582</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45582</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45582</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45582</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45582</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45582</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45582</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45582</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45582</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45582</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45582</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45582</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45582</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45582</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45582</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45582</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45582</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45582</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45582</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45582</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45582</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45582</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45582</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45582</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45582</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45582</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45582</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45582</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45582</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45582</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45582</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45582</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45582</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45582</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45582</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45582</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45582</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45582</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45582</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45582</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45582</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45582</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45582</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45582</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45582</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45582</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45582</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45582</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45582</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45582</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45582</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45582</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45582</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45582</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45582</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45582</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45582</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45582</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45582</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45582</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45582</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45582</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45582</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45582</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45582</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45582</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45582</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45582</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45582</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45582</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45582</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45582</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45582</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45582</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45582</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45582</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45582</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45582</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45582</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45582</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45582</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45582</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45582</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45582</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45582</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45582</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45582</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45582</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45582</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45582</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45582</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45582</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45582</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45582</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45582</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45582</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45582</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45582</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45582</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45582</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45582</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45582</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45582</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45582</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45582</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45582</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45582</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45582</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45582</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45582</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45582</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45582</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45582</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45582</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45582</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45582</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45582</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45582</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45582</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45582</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45582</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45582</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45582</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45582</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45582</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45582</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45582</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45582</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45582</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45582</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45582</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45582</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45582</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45582</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45582</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45582</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45582</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45582</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45582</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45582</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45582</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45582</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45582</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45582</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45582</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45582</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45582</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45582</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45582</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45582</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45582</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45582</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45582</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45582</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45582</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45582</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45582</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45582</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45582</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45582</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45582</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45582</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45582</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45582</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45582</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45582</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45582</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45582</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45582</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45582</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45582</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45582</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45582</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45582</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45582</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45582</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45582</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45582</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45582</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45582</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45582</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45582</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45582</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45582</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45582</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45582</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45582</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45582</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45582</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45582</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45582</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45582</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45582</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45582</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45582</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45582</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45582</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45582</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45582</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45582</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45582</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45582</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45582</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45582</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45582</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45582</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45582</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45582</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45582</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45582</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45582</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45582</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45582</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45582</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45582</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45582</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45582</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45582</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45582</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45582</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45582</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45582</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45582</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45582</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45582</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45582</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45582</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45582</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45582</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45582</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45582</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45582</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45582</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45582</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45582</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45582</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45582</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45582</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45582</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45582</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45582</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45582</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45582</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45582</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45582</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45582</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45582</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45582</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45582</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45582</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45582</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45582</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45582</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45582</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45582</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45582</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45582</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45582</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45582</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45582</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45582</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45582</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45582</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45582</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45582</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45582</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45582</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45582</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45582</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45582</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45582</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45582</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45582</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45582</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45582</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45582</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45582</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45582</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45582</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45582</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45582</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45582</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45582</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45582</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45582</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45582</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45582</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45582</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45582</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45582</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45582</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45582</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45582</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45582</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45582</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45582</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45582</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45582</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45582</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45582</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45582</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45582</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45582</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45582</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45582</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45582</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45582</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45582</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45582</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45582</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45582</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45582</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45582</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45582</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45582</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45582</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45582</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45582</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45582</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45582</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45582</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45582</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45582</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45582</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45582</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45582</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45582</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45582</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45582</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45582</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45582</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45582</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45582</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45582</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45582</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45582</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45582</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45582</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45582</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45582</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45582</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45582</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45582</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45582</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45582</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45582</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45582</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45582</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45582</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45582</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45582</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45582</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45582</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45582</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45582</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45582</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45582</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45582</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45582</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45582</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45582</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45582</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45582</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45582</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45582</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45582</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45582</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45582</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45582</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45582</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45582</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45582</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45582</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45582</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45582</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45582</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45582</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45582</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45582</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45582</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45582</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45582</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45582</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45582</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45582</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45582</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45582</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45582</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45582</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45582</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45582</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45582</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45582</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45582</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45582</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45582</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45582</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45582</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45582</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45582</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45582</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45582</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45582</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45582</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45582</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45582</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45582</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45582</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45582</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45582</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45582</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45582</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45582</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45582</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45582</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45582</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45582</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45582</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45582</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45582</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45582</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45582</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45582</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45582</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45582</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45582</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45582</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45582</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45582</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45582</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45582</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45582</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45582</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45582</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45582</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45582</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45582</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45582</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45582</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45582</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45582</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45582</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45582</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45582</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45582</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45582</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45582</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45582</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45582</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45582</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45582</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45582</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45582</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45582</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45582</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45582</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45582</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45582</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45582</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45582</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45582</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45582</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45582</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45582</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45582</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45582</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45582</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45582</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45582</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45582</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45582</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45582</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45582</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45582</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45582</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45582</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45582</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45582</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45582</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45582</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45582</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45582</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45582</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45582</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45582</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45582</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45582</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45582</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45582</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45582</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45582</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45582</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45582</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45582</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45582</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45582</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45582</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45582</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45582</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45582</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45582</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45582</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45582</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45582</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45582</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45582</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45582</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45582</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45582</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45582</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45582</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45582</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45582</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45582</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45582</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45582</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45582</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45582</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45582</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45582</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45582</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45582</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45582</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45582</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45582</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45582</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45582</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45582</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45582</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45582</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45582</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45582</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45582</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45582</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45582</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45582</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45582</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45582</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45582</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45582</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45582</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45582</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45582</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45582</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45582</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45582</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45582</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45582</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45582</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45582</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45582</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45582</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45582</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45582</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45582</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45582</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45582</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45582</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45582</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45582</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45582</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45582</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45582</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45582</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45582</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45582</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45582</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45582</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45582</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45582</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45582</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45582</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45582</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45582</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45582</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45582</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45582</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45582</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45582</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45582</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45582</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45582</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45582</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45582</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45582</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45582</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45582</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45582</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45582</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45582</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45582</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45582</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45582</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45582</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45582</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45582</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45582</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45582</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45582</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45582</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45582</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45582</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45582</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45582</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45582</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45582</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45582</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45582</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45582</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45582</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45582</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45582</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45582</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45582</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45582</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45582</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45582</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45582</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45582</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45582</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45582</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45582</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45582</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45582</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45582</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45582</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45582</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45582</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45582</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45582</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45582</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45582</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45582</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45582</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45582</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45582</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45582</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45582</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45582</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45582</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45582</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45582</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45582</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45582</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45582</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45582</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45582</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45582</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45582</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45582</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45582</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45582</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45582</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45582</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45582</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45582</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45582</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45582</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45582</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45582</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45582</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45582</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45582</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45582</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45582</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45582</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45582</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45582</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45582</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45582</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45582</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45582</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45582</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45582</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45582</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45582</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45582</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45582</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45582</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45582</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45582</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45582</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45582</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45582</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45582</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45582</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45582</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45582</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45582</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45582</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45582</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45582</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45582</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45582</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45582</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45582</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45582</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45582</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45582</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45582</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45582</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45582</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45582</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45582</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45582</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45582</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45582</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45582</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45582</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45582</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45582</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45582</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45582</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45582</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45582</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45582</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45582</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45582</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45582</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45582</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45582</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45582</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45582</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45582</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45582</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45582</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45582</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45582</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45582</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45582</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45582</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45582</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45582</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45582</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45582</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45582</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45582</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45582</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45582</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45582</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45582</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45582</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45582</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45582</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45582</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45582</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45582</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45582</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45582</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45582</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45582</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45582</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45582</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45582</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45582</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45582</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45582</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45582</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45582</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45582</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45582</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45582</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45582</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45582</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45582</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45582</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45582</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45582</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45582</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45582</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45582</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45582</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45582</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45582</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45582</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45582</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45582</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45582</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45582</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45582</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45582</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45582</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45582</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45582</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45582</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45582</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45582</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45582</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45582</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45582</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45582</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45582</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45582</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45582</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45582</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45582</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45582</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45582</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45582</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45582</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45582</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45582</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45582</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45582</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45582</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45582</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45582</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45582</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45582</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45582</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45582</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45582</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45582</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45582</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45582</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45582</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45582</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45582</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45582</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45582</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45582</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45582</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45582</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45582</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45582</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45582</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45582</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45582</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45582</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45582</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45582</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45582</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45582</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45582</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45582</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45582</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45582</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45582</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45582</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45582</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45582</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45582</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45582</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45582</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45582</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45582</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45582</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45582</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45582</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45582</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45582</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45582</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45582</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45582</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45582</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45582</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45582</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45582</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45582</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45582</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45582</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45582</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45582</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45582</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45582</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45582</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45582</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45582</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45582</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45582</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45582</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45582</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45582</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45582</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45582</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45582</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45582</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45582</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45582</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45582</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45582</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45582</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45582</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45582</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45582</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45582</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45582</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45582</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45582</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45582</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45582</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45582</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45582</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45582</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45582</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45582</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45582</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45582</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45582</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45582</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45582</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45582</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45582</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45582</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45582</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45582</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45582</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45582</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45582</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45582</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45582</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45582</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45582</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45582</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45582</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45582</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45582</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45582</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45582</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45582</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45582</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45582</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45582</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45582</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45582</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45582</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45582</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45582</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45582</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45582</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41101-2024</t>
        </is>
      </c>
      <c r="B1516" s="1" t="n">
        <v>45559</v>
      </c>
      <c r="C1516" s="1" t="n">
        <v>45582</v>
      </c>
      <c r="D1516" t="inlineStr">
        <is>
          <t>JÄMTLANDS LÄN</t>
        </is>
      </c>
      <c r="E1516" t="inlineStr">
        <is>
          <t>HÄRJEDALEN</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45582</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41068-2024</t>
        </is>
      </c>
      <c r="B1518" s="1" t="n">
        <v>45559</v>
      </c>
      <c r="C1518" s="1" t="n">
        <v>45582</v>
      </c>
      <c r="D1518" t="inlineStr">
        <is>
          <t>JÄMTLANDS LÄN</t>
        </is>
      </c>
      <c r="E1518" t="inlineStr">
        <is>
          <t>HÄRJEDALEN</t>
        </is>
      </c>
      <c r="F1518" t="inlineStr">
        <is>
          <t>Bergvik skog väst AB</t>
        </is>
      </c>
      <c r="G1518" t="n">
        <v>51.1</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45582</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45582</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45582</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45582</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45582</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45582</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41785-2024</t>
        </is>
      </c>
      <c r="B1525" s="1" t="n">
        <v>45561</v>
      </c>
      <c r="C1525" s="1" t="n">
        <v>45582</v>
      </c>
      <c r="D1525" t="inlineStr">
        <is>
          <t>JÄMTLANDS LÄN</t>
        </is>
      </c>
      <c r="E1525" t="inlineStr">
        <is>
          <t>HÄRJEDALEN</t>
        </is>
      </c>
      <c r="F1525" t="inlineStr">
        <is>
          <t>SCA</t>
        </is>
      </c>
      <c r="G1525" t="n">
        <v>45.1</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45582</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45582</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45582</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45582</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45582</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45582</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45582</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45582</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45582</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45582</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43316-2024</t>
        </is>
      </c>
      <c r="B1536" s="1" t="n">
        <v>45568</v>
      </c>
      <c r="C1536" s="1" t="n">
        <v>45582</v>
      </c>
      <c r="D1536" t="inlineStr">
        <is>
          <t>JÄMTLANDS LÄN</t>
        </is>
      </c>
      <c r="E1536" t="inlineStr">
        <is>
          <t>HÄRJEDALEN</t>
        </is>
      </c>
      <c r="F1536" t="inlineStr">
        <is>
          <t>Bergvik skog väst AB</t>
        </is>
      </c>
      <c r="G1536" t="n">
        <v>79.90000000000001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43390-2024</t>
        </is>
      </c>
      <c r="B1537" s="1" t="n">
        <v>45568</v>
      </c>
      <c r="C1537" s="1" t="n">
        <v>45582</v>
      </c>
      <c r="D1537" t="inlineStr">
        <is>
          <t>JÄMTLANDS LÄN</t>
        </is>
      </c>
      <c r="E1537" t="inlineStr">
        <is>
          <t>HÄRJEDALEN</t>
        </is>
      </c>
      <c r="F1537" t="inlineStr">
        <is>
          <t>Bergvik skog väst AB</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45582</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43287-2024</t>
        </is>
      </c>
      <c r="B1539" s="1" t="n">
        <v>45568</v>
      </c>
      <c r="C1539" s="1" t="n">
        <v>45582</v>
      </c>
      <c r="D1539" t="inlineStr">
        <is>
          <t>JÄMTLANDS LÄN</t>
        </is>
      </c>
      <c r="E1539" t="inlineStr">
        <is>
          <t>HÄRJEDALEN</t>
        </is>
      </c>
      <c r="F1539" t="inlineStr">
        <is>
          <t>SCA</t>
        </is>
      </c>
      <c r="G1539" t="n">
        <v>19.7</v>
      </c>
      <c r="H1539" t="n">
        <v>0</v>
      </c>
      <c r="I1539" t="n">
        <v>0</v>
      </c>
      <c r="J1539" t="n">
        <v>0</v>
      </c>
      <c r="K1539" t="n">
        <v>0</v>
      </c>
      <c r="L1539" t="n">
        <v>0</v>
      </c>
      <c r="M1539" t="n">
        <v>0</v>
      </c>
      <c r="N1539" t="n">
        <v>0</v>
      </c>
      <c r="O1539" t="n">
        <v>0</v>
      </c>
      <c r="P1539" t="n">
        <v>0</v>
      </c>
      <c r="Q1539" t="n">
        <v>0</v>
      </c>
      <c r="R1539" s="2" t="inlineStr"/>
    </row>
    <row r="1540" ht="15" customHeight="1">
      <c r="A1540" t="inlineStr">
        <is>
          <t>A 43574-2024</t>
        </is>
      </c>
      <c r="B1540" s="1" t="n">
        <v>45569</v>
      </c>
      <c r="C1540" s="1" t="n">
        <v>45582</v>
      </c>
      <c r="D1540" t="inlineStr">
        <is>
          <t>JÄMTLANDS LÄN</t>
        </is>
      </c>
      <c r="E1540" t="inlineStr">
        <is>
          <t>HÄRJEDALEN</t>
        </is>
      </c>
      <c r="F1540" t="inlineStr">
        <is>
          <t>Bergvik skog väst AB</t>
        </is>
      </c>
      <c r="G1540" t="n">
        <v>258.3</v>
      </c>
      <c r="H1540" t="n">
        <v>0</v>
      </c>
      <c r="I1540" t="n">
        <v>0</v>
      </c>
      <c r="J1540" t="n">
        <v>0</v>
      </c>
      <c r="K1540" t="n">
        <v>0</v>
      </c>
      <c r="L1540" t="n">
        <v>0</v>
      </c>
      <c r="M1540" t="n">
        <v>0</v>
      </c>
      <c r="N1540" t="n">
        <v>0</v>
      </c>
      <c r="O1540" t="n">
        <v>0</v>
      </c>
      <c r="P1540" t="n">
        <v>0</v>
      </c>
      <c r="Q1540" t="n">
        <v>0</v>
      </c>
      <c r="R1540" s="2" t="inlineStr"/>
    </row>
    <row r="1541" ht="15" customHeight="1">
      <c r="A1541" t="inlineStr">
        <is>
          <t>A 43586-2024</t>
        </is>
      </c>
      <c r="B1541" s="1" t="n">
        <v>45569</v>
      </c>
      <c r="C1541" s="1" t="n">
        <v>45582</v>
      </c>
      <c r="D1541" t="inlineStr">
        <is>
          <t>JÄMTLANDS LÄN</t>
        </is>
      </c>
      <c r="E1541" t="inlineStr">
        <is>
          <t>HÄRJEDALEN</t>
        </is>
      </c>
      <c r="F1541" t="inlineStr">
        <is>
          <t>Bergvik skog väst AB</t>
        </is>
      </c>
      <c r="G1541" t="n">
        <v>96.2</v>
      </c>
      <c r="H1541" t="n">
        <v>0</v>
      </c>
      <c r="I1541" t="n">
        <v>0</v>
      </c>
      <c r="J1541" t="n">
        <v>0</v>
      </c>
      <c r="K1541" t="n">
        <v>0</v>
      </c>
      <c r="L1541" t="n">
        <v>0</v>
      </c>
      <c r="M1541" t="n">
        <v>0</v>
      </c>
      <c r="N1541" t="n">
        <v>0</v>
      </c>
      <c r="O1541" t="n">
        <v>0</v>
      </c>
      <c r="P1541" t="n">
        <v>0</v>
      </c>
      <c r="Q1541" t="n">
        <v>0</v>
      </c>
      <c r="R1541" s="2" t="inlineStr"/>
    </row>
    <row r="1542" ht="15" customHeight="1">
      <c r="A1542" t="inlineStr">
        <is>
          <t>A 43555-2024</t>
        </is>
      </c>
      <c r="B1542" s="1" t="n">
        <v>45569</v>
      </c>
      <c r="C1542" s="1" t="n">
        <v>45582</v>
      </c>
      <c r="D1542" t="inlineStr">
        <is>
          <t>JÄMTLANDS LÄN</t>
        </is>
      </c>
      <c r="E1542" t="inlineStr">
        <is>
          <t>HÄRJEDALEN</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43607-2024</t>
        </is>
      </c>
      <c r="B1543" s="1" t="n">
        <v>45569</v>
      </c>
      <c r="C1543" s="1" t="n">
        <v>45582</v>
      </c>
      <c r="D1543" t="inlineStr">
        <is>
          <t>JÄMTLANDS LÄN</t>
        </is>
      </c>
      <c r="E1543" t="inlineStr">
        <is>
          <t>HÄRJEDALEN</t>
        </is>
      </c>
      <c r="F1543" t="inlineStr">
        <is>
          <t>Bergvik skog väst AB</t>
        </is>
      </c>
      <c r="G1543" t="n">
        <v>189.8</v>
      </c>
      <c r="H1543" t="n">
        <v>0</v>
      </c>
      <c r="I1543" t="n">
        <v>0</v>
      </c>
      <c r="J1543" t="n">
        <v>0</v>
      </c>
      <c r="K1543" t="n">
        <v>0</v>
      </c>
      <c r="L1543" t="n">
        <v>0</v>
      </c>
      <c r="M1543" t="n">
        <v>0</v>
      </c>
      <c r="N1543" t="n">
        <v>0</v>
      </c>
      <c r="O1543" t="n">
        <v>0</v>
      </c>
      <c r="P1543" t="n">
        <v>0</v>
      </c>
      <c r="Q1543" t="n">
        <v>0</v>
      </c>
      <c r="R1543" s="2" t="inlineStr"/>
    </row>
    <row r="1544" ht="15" customHeight="1">
      <c r="A1544" t="inlineStr">
        <is>
          <t>A 43623-2024</t>
        </is>
      </c>
      <c r="B1544" s="1" t="n">
        <v>45569</v>
      </c>
      <c r="C1544" s="1" t="n">
        <v>45582</v>
      </c>
      <c r="D1544" t="inlineStr">
        <is>
          <t>JÄMTLANDS LÄN</t>
        </is>
      </c>
      <c r="E1544" t="inlineStr">
        <is>
          <t>HÄRJEDALEN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43591-2024</t>
        </is>
      </c>
      <c r="B1545" s="1" t="n">
        <v>45569</v>
      </c>
      <c r="C1545" s="1" t="n">
        <v>45582</v>
      </c>
      <c r="D1545" t="inlineStr">
        <is>
          <t>JÄMTLANDS LÄN</t>
        </is>
      </c>
      <c r="E1545" t="inlineStr">
        <is>
          <t>HÄRJEDALEN</t>
        </is>
      </c>
      <c r="F1545" t="inlineStr">
        <is>
          <t>Bergvik skog väst AB</t>
        </is>
      </c>
      <c r="G1545" t="n">
        <v>50.5</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45582</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45582</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45582</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45582</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45582</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45582</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45582</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44583-2024</t>
        </is>
      </c>
      <c r="B1553" s="1" t="n">
        <v>45574</v>
      </c>
      <c r="C1553" s="1" t="n">
        <v>45582</v>
      </c>
      <c r="D1553" t="inlineStr">
        <is>
          <t>JÄMTLANDS LÄN</t>
        </is>
      </c>
      <c r="E1553" t="inlineStr">
        <is>
          <t>HÄRJEDALEN</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44641-2024</t>
        </is>
      </c>
      <c r="B1554" s="1" t="n">
        <v>45574</v>
      </c>
      <c r="C1554" s="1" t="n">
        <v>45582</v>
      </c>
      <c r="D1554" t="inlineStr">
        <is>
          <t>JÄMTLANDS LÄN</t>
        </is>
      </c>
      <c r="E1554" t="inlineStr">
        <is>
          <t>HÄRJEDALEN</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44824-2024</t>
        </is>
      </c>
      <c r="B1555" s="1" t="n">
        <v>45574</v>
      </c>
      <c r="C1555" s="1" t="n">
        <v>45582</v>
      </c>
      <c r="D1555" t="inlineStr">
        <is>
          <t>JÄMTLANDS LÄN</t>
        </is>
      </c>
      <c r="E1555" t="inlineStr">
        <is>
          <t>HÄRJEDALEN</t>
        </is>
      </c>
      <c r="F1555" t="inlineStr">
        <is>
          <t>Bergvik skog väst AB</t>
        </is>
      </c>
      <c r="G1555" t="n">
        <v>29.4</v>
      </c>
      <c r="H1555" t="n">
        <v>0</v>
      </c>
      <c r="I1555" t="n">
        <v>0</v>
      </c>
      <c r="J1555" t="n">
        <v>0</v>
      </c>
      <c r="K1555" t="n">
        <v>0</v>
      </c>
      <c r="L1555" t="n">
        <v>0</v>
      </c>
      <c r="M1555" t="n">
        <v>0</v>
      </c>
      <c r="N1555" t="n">
        <v>0</v>
      </c>
      <c r="O1555" t="n">
        <v>0</v>
      </c>
      <c r="P1555" t="n">
        <v>0</v>
      </c>
      <c r="Q1555" t="n">
        <v>0</v>
      </c>
      <c r="R1555" s="2" t="inlineStr"/>
    </row>
    <row r="1556" ht="15" customHeight="1">
      <c r="A1556" t="inlineStr">
        <is>
          <t>A 44705-2024</t>
        </is>
      </c>
      <c r="B1556" s="1" t="n">
        <v>45574</v>
      </c>
      <c r="C1556" s="1" t="n">
        <v>45582</v>
      </c>
      <c r="D1556" t="inlineStr">
        <is>
          <t>JÄMTLANDS LÄN</t>
        </is>
      </c>
      <c r="E1556" t="inlineStr">
        <is>
          <t>HÄRJEDALEN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44819-2024</t>
        </is>
      </c>
      <c r="B1557" s="1" t="n">
        <v>45574</v>
      </c>
      <c r="C1557" s="1" t="n">
        <v>45582</v>
      </c>
      <c r="D1557" t="inlineStr">
        <is>
          <t>JÄMTLANDS LÄN</t>
        </is>
      </c>
      <c r="E1557" t="inlineStr">
        <is>
          <t>HÄRJEDALEN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44745-2024</t>
        </is>
      </c>
      <c r="B1558" s="1" t="n">
        <v>45574</v>
      </c>
      <c r="C1558" s="1" t="n">
        <v>45582</v>
      </c>
      <c r="D1558" t="inlineStr">
        <is>
          <t>JÄMTLANDS LÄN</t>
        </is>
      </c>
      <c r="E1558" t="inlineStr">
        <is>
          <t>HÄRJEDALEN</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44757-2024</t>
        </is>
      </c>
      <c r="B1559" s="1" t="n">
        <v>45574</v>
      </c>
      <c r="C1559" s="1" t="n">
        <v>45582</v>
      </c>
      <c r="D1559" t="inlineStr">
        <is>
          <t>JÄMTLANDS LÄN</t>
        </is>
      </c>
      <c r="E1559" t="inlineStr">
        <is>
          <t>HÄRJEDALEN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45582</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44903-2024</t>
        </is>
      </c>
      <c r="B1561" s="1" t="n">
        <v>45575</v>
      </c>
      <c r="C1561" s="1" t="n">
        <v>45582</v>
      </c>
      <c r="D1561" t="inlineStr">
        <is>
          <t>JÄMTLANDS LÄN</t>
        </is>
      </c>
      <c r="E1561" t="inlineStr">
        <is>
          <t>HÄRJEDALEN</t>
        </is>
      </c>
      <c r="F1561" t="inlineStr">
        <is>
          <t>Sveaskog</t>
        </is>
      </c>
      <c r="G1561" t="n">
        <v>13.2</v>
      </c>
      <c r="H1561" t="n">
        <v>0</v>
      </c>
      <c r="I1561" t="n">
        <v>0</v>
      </c>
      <c r="J1561" t="n">
        <v>0</v>
      </c>
      <c r="K1561" t="n">
        <v>0</v>
      </c>
      <c r="L1561" t="n">
        <v>0</v>
      </c>
      <c r="M1561" t="n">
        <v>0</v>
      </c>
      <c r="N1561" t="n">
        <v>0</v>
      </c>
      <c r="O1561" t="n">
        <v>0</v>
      </c>
      <c r="P1561" t="n">
        <v>0</v>
      </c>
      <c r="Q1561" t="n">
        <v>0</v>
      </c>
      <c r="R1561" s="2" t="inlineStr"/>
    </row>
    <row r="1562" ht="15" customHeight="1">
      <c r="A1562" t="inlineStr">
        <is>
          <t>A 44955-2024</t>
        </is>
      </c>
      <c r="B1562" s="1" t="n">
        <v>45575</v>
      </c>
      <c r="C1562" s="1" t="n">
        <v>45582</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45582</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45120-2024</t>
        </is>
      </c>
      <c r="B1564" s="1" t="n">
        <v>45575</v>
      </c>
      <c r="C1564" s="1" t="n">
        <v>45582</v>
      </c>
      <c r="D1564" t="inlineStr">
        <is>
          <t>JÄMTLANDS LÄN</t>
        </is>
      </c>
      <c r="E1564" t="inlineStr">
        <is>
          <t>HÄRJEDALEN</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45582</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45582</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45582</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45582</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45705-2024</t>
        </is>
      </c>
      <c r="B1569" s="1" t="n">
        <v>45579</v>
      </c>
      <c r="C1569" s="1" t="n">
        <v>45582</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46058-2024</t>
        </is>
      </c>
      <c r="B1570" s="1" t="n">
        <v>45581</v>
      </c>
      <c r="C1570" s="1" t="n">
        <v>45582</v>
      </c>
      <c r="D1570" t="inlineStr">
        <is>
          <t>JÄMTLANDS LÄN</t>
        </is>
      </c>
      <c r="E1570" t="inlineStr">
        <is>
          <t>HÄRJEDALEN</t>
        </is>
      </c>
      <c r="G1570" t="n">
        <v>7.5</v>
      </c>
      <c r="H1570" t="n">
        <v>0</v>
      </c>
      <c r="I1570" t="n">
        <v>0</v>
      </c>
      <c r="J1570" t="n">
        <v>0</v>
      </c>
      <c r="K1570" t="n">
        <v>0</v>
      </c>
      <c r="L1570" t="n">
        <v>0</v>
      </c>
      <c r="M1570" t="n">
        <v>0</v>
      </c>
      <c r="N1570" t="n">
        <v>0</v>
      </c>
      <c r="O1570" t="n">
        <v>0</v>
      </c>
      <c r="P1570" t="n">
        <v>0</v>
      </c>
      <c r="Q1570" t="n">
        <v>0</v>
      </c>
      <c r="R1570" s="2" t="inlineStr"/>
    </row>
    <row r="1571">
      <c r="A1571" t="inlineStr">
        <is>
          <t>A 46245-2024</t>
        </is>
      </c>
      <c r="B1571" s="1" t="n">
        <v>45581</v>
      </c>
      <c r="C1571" s="1" t="n">
        <v>45582</v>
      </c>
      <c r="D1571" t="inlineStr">
        <is>
          <t>JÄMTLANDS LÄN</t>
        </is>
      </c>
      <c r="E1571" t="inlineStr">
        <is>
          <t>HÄRJEDALEN</t>
        </is>
      </c>
      <c r="G1571" t="n">
        <v>15.2</v>
      </c>
      <c r="H1571" t="n">
        <v>0</v>
      </c>
      <c r="I1571" t="n">
        <v>0</v>
      </c>
      <c r="J1571" t="n">
        <v>0</v>
      </c>
      <c r="K1571" t="n">
        <v>0</v>
      </c>
      <c r="L1571" t="n">
        <v>0</v>
      </c>
      <c r="M1571" t="n">
        <v>0</v>
      </c>
      <c r="N1571" t="n">
        <v>0</v>
      </c>
      <c r="O1571" t="n">
        <v>0</v>
      </c>
      <c r="P1571" t="n">
        <v>0</v>
      </c>
      <c r="Q1571" t="n">
        <v>0</v>
      </c>
      <c r="R1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2024-10-17T12:42:39Z</dcterms:created>
  <dcterms:modified xmlns:dcterms="http://purl.org/dc/terms/" xmlns:xsi="http://www.w3.org/2001/XMLSchema-instance" xsi:type="dcterms:W3CDTF">2024-10-17T12:42:41Z</dcterms:modified>
</cp:coreProperties>
</file>